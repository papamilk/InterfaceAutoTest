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\Project\3. BLK\3.2 自动化测试标准模板\"/>
    </mc:Choice>
  </mc:AlternateContent>
  <bookViews>
    <workbookView xWindow="0" yWindow="0" windowWidth="28800" windowHeight="12435" firstSheet="2" activeTab="3"/>
  </bookViews>
  <sheets>
    <sheet name="冒烟测试设计" sheetId="6" state="hidden" r:id="rId1"/>
    <sheet name="测试用例_数据_Sample" sheetId="2" state="hidden" r:id="rId2"/>
    <sheet name="Dict" sheetId="5" r:id="rId3"/>
    <sheet name="测试参数设置" sheetId="7" r:id="rId4"/>
    <sheet name="业务功能_系统接口" sheetId="3" r:id="rId5"/>
    <sheet name="系统接口分类" sheetId="8" r:id="rId6"/>
    <sheet name="系统接口_测试用例" sheetId="4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4" l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B5" i="4" s="1"/>
  <c r="E4" i="8" l="1"/>
  <c r="F4" i="8"/>
  <c r="G4" i="8" s="1"/>
  <c r="H4" i="8" s="1"/>
  <c r="I4" i="8" s="1"/>
  <c r="J4" i="8" s="1"/>
  <c r="K4" i="8" s="1"/>
  <c r="L4" i="8" s="1"/>
  <c r="M4" i="8" s="1"/>
  <c r="N4" i="8" s="1"/>
  <c r="O4" i="8" s="1"/>
  <c r="P4" i="8" s="1"/>
  <c r="Q4" i="8" s="1"/>
  <c r="R4" i="8" s="1"/>
  <c r="S4" i="8" s="1"/>
  <c r="B4" i="8" l="1"/>
  <c r="C4" i="8" s="1"/>
  <c r="D4" i="8" s="1"/>
  <c r="H59" i="4" l="1"/>
  <c r="I59" i="4"/>
  <c r="J59" i="4"/>
  <c r="H60" i="4"/>
  <c r="I60" i="4"/>
  <c r="J60" i="4"/>
  <c r="H61" i="4"/>
  <c r="I61" i="4"/>
  <c r="J61" i="4"/>
  <c r="H62" i="4"/>
  <c r="I62" i="4"/>
  <c r="J62" i="4"/>
  <c r="H63" i="4"/>
  <c r="I63" i="4"/>
  <c r="J63" i="4"/>
  <c r="H64" i="4"/>
  <c r="I64" i="4"/>
  <c r="J64" i="4"/>
  <c r="H65" i="4"/>
  <c r="I65" i="4"/>
  <c r="J65" i="4"/>
  <c r="H66" i="4"/>
  <c r="I66" i="4"/>
  <c r="J66" i="4"/>
  <c r="H67" i="4"/>
  <c r="I67" i="4"/>
  <c r="J67" i="4"/>
  <c r="H68" i="4"/>
  <c r="I68" i="4"/>
  <c r="J68" i="4"/>
  <c r="H69" i="4"/>
  <c r="I69" i="4"/>
  <c r="J69" i="4"/>
  <c r="H70" i="4"/>
  <c r="I70" i="4"/>
  <c r="J70" i="4"/>
  <c r="H71" i="4"/>
  <c r="I71" i="4"/>
  <c r="J71" i="4"/>
  <c r="H72" i="4"/>
  <c r="I72" i="4"/>
  <c r="J72" i="4"/>
  <c r="H73" i="4"/>
  <c r="I73" i="4"/>
  <c r="J73" i="4"/>
  <c r="H74" i="4"/>
  <c r="I74" i="4"/>
  <c r="J74" i="4"/>
  <c r="H75" i="4"/>
  <c r="I75" i="4"/>
  <c r="J75" i="4"/>
  <c r="H76" i="4"/>
  <c r="I76" i="4"/>
  <c r="J76" i="4"/>
  <c r="H77" i="4"/>
  <c r="I77" i="4"/>
  <c r="J77" i="4"/>
  <c r="H78" i="4"/>
  <c r="I78" i="4"/>
  <c r="J78" i="4"/>
  <c r="H79" i="4"/>
  <c r="I79" i="4"/>
  <c r="J79" i="4"/>
  <c r="H80" i="4"/>
  <c r="I80" i="4"/>
  <c r="J80" i="4"/>
  <c r="H81" i="4"/>
  <c r="I81" i="4"/>
  <c r="J81" i="4"/>
  <c r="H82" i="4"/>
  <c r="I82" i="4"/>
  <c r="J82" i="4"/>
  <c r="H83" i="4"/>
  <c r="I83" i="4"/>
  <c r="J83" i="4"/>
  <c r="H84" i="4"/>
  <c r="I84" i="4"/>
  <c r="J84" i="4"/>
  <c r="H85" i="4"/>
  <c r="I85" i="4"/>
  <c r="J85" i="4"/>
  <c r="H86" i="4"/>
  <c r="I86" i="4"/>
  <c r="J86" i="4"/>
  <c r="H87" i="4"/>
  <c r="I87" i="4"/>
  <c r="J87" i="4"/>
  <c r="H88" i="4"/>
  <c r="I88" i="4"/>
  <c r="J88" i="4"/>
  <c r="H89" i="4"/>
  <c r="I89" i="4"/>
  <c r="J89" i="4"/>
  <c r="H90" i="4"/>
  <c r="I90" i="4"/>
  <c r="J90" i="4"/>
  <c r="H91" i="4"/>
  <c r="I91" i="4"/>
  <c r="J91" i="4"/>
  <c r="H92" i="4"/>
  <c r="I92" i="4"/>
  <c r="J92" i="4"/>
  <c r="H93" i="4"/>
  <c r="I93" i="4"/>
  <c r="J93" i="4"/>
  <c r="H94" i="4"/>
  <c r="I94" i="4"/>
  <c r="J94" i="4"/>
  <c r="H95" i="4"/>
  <c r="I95" i="4"/>
  <c r="J95" i="4"/>
  <c r="H96" i="4"/>
  <c r="I96" i="4"/>
  <c r="J96" i="4"/>
  <c r="H97" i="4"/>
  <c r="I97" i="4"/>
  <c r="J97" i="4"/>
  <c r="H98" i="4"/>
  <c r="I98" i="4"/>
  <c r="J98" i="4"/>
  <c r="H99" i="4"/>
  <c r="I99" i="4"/>
  <c r="J99" i="4"/>
  <c r="H100" i="4"/>
  <c r="I100" i="4"/>
  <c r="J100" i="4"/>
  <c r="H101" i="4"/>
  <c r="I101" i="4"/>
  <c r="J101" i="4"/>
  <c r="H102" i="4"/>
  <c r="I102" i="4"/>
  <c r="J102" i="4"/>
  <c r="H103" i="4"/>
  <c r="I103" i="4"/>
  <c r="J103" i="4"/>
  <c r="H104" i="4"/>
  <c r="I104" i="4"/>
  <c r="J104" i="4"/>
  <c r="H105" i="4"/>
  <c r="I105" i="4"/>
  <c r="J105" i="4"/>
  <c r="H106" i="4"/>
  <c r="I106" i="4"/>
  <c r="J106" i="4"/>
  <c r="H107" i="4"/>
  <c r="I107" i="4"/>
  <c r="J107" i="4"/>
  <c r="H108" i="4"/>
  <c r="I108" i="4"/>
  <c r="J108" i="4"/>
  <c r="H109" i="4"/>
  <c r="I109" i="4"/>
  <c r="J109" i="4"/>
  <c r="H110" i="4"/>
  <c r="I110" i="4"/>
  <c r="J110" i="4"/>
  <c r="H111" i="4"/>
  <c r="I111" i="4"/>
  <c r="J111" i="4"/>
  <c r="H112" i="4"/>
  <c r="I112" i="4"/>
  <c r="J112" i="4"/>
  <c r="H113" i="4"/>
  <c r="I113" i="4"/>
  <c r="J113" i="4"/>
  <c r="H114" i="4"/>
  <c r="I114" i="4"/>
  <c r="J114" i="4"/>
  <c r="H115" i="4"/>
  <c r="I115" i="4"/>
  <c r="J115" i="4"/>
  <c r="H116" i="4"/>
  <c r="I116" i="4"/>
  <c r="J116" i="4"/>
  <c r="H117" i="4"/>
  <c r="I117" i="4"/>
  <c r="J117" i="4"/>
  <c r="H118" i="4"/>
  <c r="I118" i="4"/>
  <c r="J118" i="4"/>
  <c r="H119" i="4"/>
  <c r="I119" i="4"/>
  <c r="J119" i="4"/>
  <c r="H120" i="4"/>
  <c r="I120" i="4"/>
  <c r="J120" i="4"/>
  <c r="H121" i="4"/>
  <c r="I121" i="4"/>
  <c r="J121" i="4"/>
  <c r="H122" i="4"/>
  <c r="I122" i="4"/>
  <c r="J122" i="4"/>
  <c r="H123" i="4"/>
  <c r="I123" i="4"/>
  <c r="J123" i="4"/>
  <c r="H124" i="4"/>
  <c r="I124" i="4"/>
  <c r="J124" i="4"/>
  <c r="H125" i="4"/>
  <c r="I125" i="4"/>
  <c r="J125" i="4"/>
  <c r="H126" i="4"/>
  <c r="I126" i="4"/>
  <c r="J126" i="4"/>
  <c r="H127" i="4"/>
  <c r="I127" i="4"/>
  <c r="J127" i="4"/>
  <c r="H128" i="4"/>
  <c r="I128" i="4"/>
  <c r="J128" i="4"/>
  <c r="H129" i="4"/>
  <c r="I129" i="4"/>
  <c r="J129" i="4"/>
  <c r="H130" i="4"/>
  <c r="I130" i="4"/>
  <c r="J130" i="4"/>
  <c r="H131" i="4"/>
  <c r="I131" i="4"/>
  <c r="J131" i="4"/>
  <c r="H132" i="4"/>
  <c r="I132" i="4"/>
  <c r="J132" i="4"/>
  <c r="H133" i="4"/>
  <c r="I133" i="4"/>
  <c r="J133" i="4"/>
  <c r="H134" i="4"/>
  <c r="I134" i="4"/>
  <c r="J134" i="4"/>
  <c r="H135" i="4"/>
  <c r="I135" i="4"/>
  <c r="J135" i="4"/>
  <c r="H136" i="4"/>
  <c r="I136" i="4"/>
  <c r="J136" i="4"/>
  <c r="H137" i="4"/>
  <c r="I137" i="4"/>
  <c r="J137" i="4"/>
  <c r="H138" i="4"/>
  <c r="I138" i="4"/>
  <c r="J138" i="4"/>
  <c r="H139" i="4"/>
  <c r="I139" i="4"/>
  <c r="J139" i="4"/>
  <c r="H140" i="4"/>
  <c r="I140" i="4"/>
  <c r="J140" i="4"/>
  <c r="H141" i="4"/>
  <c r="I141" i="4"/>
  <c r="J141" i="4"/>
  <c r="H142" i="4"/>
  <c r="I142" i="4"/>
  <c r="J142" i="4"/>
  <c r="H143" i="4"/>
  <c r="I143" i="4"/>
  <c r="J143" i="4"/>
  <c r="H144" i="4"/>
  <c r="I144" i="4"/>
  <c r="J144" i="4"/>
  <c r="H145" i="4"/>
  <c r="I145" i="4"/>
  <c r="J145" i="4"/>
  <c r="H146" i="4"/>
  <c r="I146" i="4"/>
  <c r="J146" i="4"/>
  <c r="H147" i="4"/>
  <c r="I147" i="4"/>
  <c r="J147" i="4"/>
  <c r="H148" i="4"/>
  <c r="I148" i="4"/>
  <c r="J148" i="4"/>
  <c r="H149" i="4"/>
  <c r="I149" i="4"/>
  <c r="J149" i="4"/>
  <c r="H150" i="4"/>
  <c r="I150" i="4"/>
  <c r="J150" i="4"/>
  <c r="H151" i="4"/>
  <c r="I151" i="4"/>
  <c r="J151" i="4"/>
  <c r="H152" i="4"/>
  <c r="I152" i="4"/>
  <c r="J152" i="4"/>
  <c r="H153" i="4"/>
  <c r="I153" i="4"/>
  <c r="J153" i="4"/>
  <c r="H154" i="4"/>
  <c r="I154" i="4"/>
  <c r="J154" i="4"/>
  <c r="H155" i="4"/>
  <c r="I155" i="4"/>
  <c r="J155" i="4"/>
  <c r="H156" i="4"/>
  <c r="I156" i="4"/>
  <c r="J156" i="4"/>
  <c r="H157" i="4"/>
  <c r="I157" i="4"/>
  <c r="J157" i="4"/>
  <c r="H158" i="4"/>
  <c r="I158" i="4"/>
  <c r="J158" i="4"/>
  <c r="H159" i="4"/>
  <c r="I159" i="4"/>
  <c r="J159" i="4"/>
  <c r="H160" i="4"/>
  <c r="I160" i="4"/>
  <c r="J160" i="4"/>
  <c r="H161" i="4"/>
  <c r="I161" i="4"/>
  <c r="J161" i="4"/>
  <c r="H162" i="4"/>
  <c r="I162" i="4"/>
  <c r="J162" i="4"/>
  <c r="H163" i="4"/>
  <c r="I163" i="4"/>
  <c r="J163" i="4"/>
  <c r="H164" i="4"/>
  <c r="I164" i="4"/>
  <c r="J164" i="4"/>
  <c r="H165" i="4"/>
  <c r="I165" i="4"/>
  <c r="J165" i="4"/>
  <c r="H166" i="4"/>
  <c r="I166" i="4"/>
  <c r="J166" i="4"/>
  <c r="H167" i="4"/>
  <c r="I167" i="4"/>
  <c r="J167" i="4"/>
  <c r="H168" i="4"/>
  <c r="I168" i="4"/>
  <c r="J168" i="4"/>
  <c r="H169" i="4"/>
  <c r="I169" i="4"/>
  <c r="J169" i="4"/>
  <c r="H170" i="4"/>
  <c r="I170" i="4"/>
  <c r="J170" i="4"/>
  <c r="H171" i="4"/>
  <c r="I171" i="4"/>
  <c r="J171" i="4"/>
  <c r="H172" i="4"/>
  <c r="I172" i="4"/>
  <c r="J172" i="4"/>
  <c r="H173" i="4"/>
  <c r="I173" i="4"/>
  <c r="J173" i="4"/>
  <c r="H174" i="4"/>
  <c r="I174" i="4"/>
  <c r="J174" i="4"/>
  <c r="H175" i="4"/>
  <c r="I175" i="4"/>
  <c r="J175" i="4"/>
  <c r="H176" i="4"/>
  <c r="I176" i="4"/>
  <c r="J176" i="4"/>
  <c r="H177" i="4"/>
  <c r="I177" i="4"/>
  <c r="J177" i="4"/>
  <c r="H178" i="4"/>
  <c r="I178" i="4"/>
  <c r="J178" i="4"/>
  <c r="H179" i="4"/>
  <c r="I179" i="4"/>
  <c r="J179" i="4"/>
  <c r="H180" i="4"/>
  <c r="I180" i="4"/>
  <c r="J180" i="4"/>
  <c r="H181" i="4"/>
  <c r="I181" i="4"/>
  <c r="J181" i="4"/>
  <c r="H182" i="4"/>
  <c r="I182" i="4"/>
  <c r="J182" i="4"/>
  <c r="H183" i="4"/>
  <c r="I183" i="4"/>
  <c r="J183" i="4"/>
  <c r="H184" i="4"/>
  <c r="I184" i="4"/>
  <c r="J184" i="4"/>
  <c r="H185" i="4"/>
  <c r="I185" i="4"/>
  <c r="J185" i="4"/>
  <c r="H186" i="4"/>
  <c r="I186" i="4"/>
  <c r="J186" i="4"/>
  <c r="H187" i="4"/>
  <c r="I187" i="4"/>
  <c r="J187" i="4"/>
  <c r="H188" i="4"/>
  <c r="I188" i="4"/>
  <c r="J188" i="4"/>
  <c r="H189" i="4"/>
  <c r="I189" i="4"/>
  <c r="J189" i="4"/>
  <c r="H190" i="4"/>
  <c r="I190" i="4"/>
  <c r="J190" i="4"/>
  <c r="H191" i="4"/>
  <c r="I191" i="4"/>
  <c r="J191" i="4"/>
  <c r="H192" i="4"/>
  <c r="I192" i="4"/>
  <c r="J192" i="4"/>
  <c r="H193" i="4"/>
  <c r="I193" i="4"/>
  <c r="J193" i="4"/>
  <c r="H194" i="4"/>
  <c r="I194" i="4"/>
  <c r="J194" i="4"/>
  <c r="H195" i="4"/>
  <c r="I195" i="4"/>
  <c r="J195" i="4"/>
  <c r="H196" i="4"/>
  <c r="I196" i="4"/>
  <c r="J196" i="4"/>
  <c r="H197" i="4"/>
  <c r="I197" i="4"/>
  <c r="J197" i="4"/>
  <c r="H198" i="4"/>
  <c r="I198" i="4"/>
  <c r="J198" i="4"/>
  <c r="H199" i="4"/>
  <c r="I199" i="4"/>
  <c r="J199" i="4"/>
  <c r="H200" i="4"/>
  <c r="I200" i="4"/>
  <c r="J200" i="4"/>
  <c r="H201" i="4"/>
  <c r="I201" i="4"/>
  <c r="J201" i="4"/>
  <c r="H202" i="4"/>
  <c r="I202" i="4"/>
  <c r="J202" i="4"/>
  <c r="H203" i="4"/>
  <c r="I203" i="4"/>
  <c r="J203" i="4"/>
  <c r="H204" i="4"/>
  <c r="I204" i="4"/>
  <c r="J204" i="4"/>
  <c r="H205" i="4"/>
  <c r="I205" i="4"/>
  <c r="J205" i="4"/>
  <c r="H206" i="4"/>
  <c r="I206" i="4"/>
  <c r="J206" i="4"/>
  <c r="H207" i="4"/>
  <c r="I207" i="4"/>
  <c r="J207" i="4"/>
  <c r="H208" i="4"/>
  <c r="I208" i="4"/>
  <c r="J208" i="4"/>
  <c r="H209" i="4"/>
  <c r="I209" i="4"/>
  <c r="J209" i="4"/>
  <c r="H210" i="4"/>
  <c r="I210" i="4"/>
  <c r="J210" i="4"/>
  <c r="H211" i="4"/>
  <c r="I211" i="4"/>
  <c r="J211" i="4"/>
  <c r="H212" i="4"/>
  <c r="I212" i="4"/>
  <c r="J212" i="4"/>
  <c r="H213" i="4"/>
  <c r="I213" i="4"/>
  <c r="J213" i="4"/>
  <c r="H214" i="4"/>
  <c r="I214" i="4"/>
  <c r="J214" i="4"/>
  <c r="H215" i="4"/>
  <c r="I215" i="4"/>
  <c r="J215" i="4"/>
  <c r="H216" i="4"/>
  <c r="I216" i="4"/>
  <c r="J216" i="4"/>
  <c r="H217" i="4"/>
  <c r="I217" i="4"/>
  <c r="J217" i="4"/>
  <c r="H218" i="4"/>
  <c r="I218" i="4"/>
  <c r="J218" i="4"/>
  <c r="H219" i="4"/>
  <c r="I219" i="4"/>
  <c r="J219" i="4"/>
  <c r="H220" i="4"/>
  <c r="I220" i="4"/>
  <c r="J220" i="4"/>
  <c r="H221" i="4"/>
  <c r="I221" i="4"/>
  <c r="J221" i="4"/>
  <c r="H222" i="4"/>
  <c r="I222" i="4"/>
  <c r="J222" i="4"/>
  <c r="H223" i="4"/>
  <c r="I223" i="4"/>
  <c r="J223" i="4"/>
  <c r="H224" i="4"/>
  <c r="I224" i="4"/>
  <c r="J224" i="4"/>
  <c r="H225" i="4"/>
  <c r="I225" i="4"/>
  <c r="J225" i="4"/>
  <c r="H226" i="4"/>
  <c r="I226" i="4"/>
  <c r="J226" i="4"/>
  <c r="H227" i="4"/>
  <c r="I227" i="4"/>
  <c r="J227" i="4"/>
  <c r="H228" i="4"/>
  <c r="I228" i="4"/>
  <c r="J228" i="4"/>
  <c r="H229" i="4"/>
  <c r="I229" i="4"/>
  <c r="J229" i="4"/>
  <c r="H230" i="4"/>
  <c r="I230" i="4"/>
  <c r="J230" i="4"/>
  <c r="H231" i="4"/>
  <c r="I231" i="4"/>
  <c r="J231" i="4"/>
  <c r="H232" i="4"/>
  <c r="I232" i="4"/>
  <c r="J232" i="4"/>
  <c r="H233" i="4"/>
  <c r="I233" i="4"/>
  <c r="J233" i="4"/>
  <c r="H234" i="4"/>
  <c r="I234" i="4"/>
  <c r="J234" i="4"/>
  <c r="H235" i="4"/>
  <c r="I235" i="4"/>
  <c r="J235" i="4"/>
  <c r="H236" i="4"/>
  <c r="I236" i="4"/>
  <c r="J236" i="4"/>
  <c r="H237" i="4"/>
  <c r="I237" i="4"/>
  <c r="J237" i="4"/>
  <c r="H238" i="4"/>
  <c r="I238" i="4"/>
  <c r="J238" i="4"/>
  <c r="H239" i="4"/>
  <c r="I239" i="4"/>
  <c r="J239" i="4"/>
  <c r="H240" i="4"/>
  <c r="I240" i="4"/>
  <c r="J240" i="4"/>
  <c r="H241" i="4"/>
  <c r="I241" i="4"/>
  <c r="J241" i="4"/>
  <c r="H242" i="4"/>
  <c r="I242" i="4"/>
  <c r="J242" i="4"/>
  <c r="H243" i="4"/>
  <c r="I243" i="4"/>
  <c r="J243" i="4"/>
  <c r="H244" i="4"/>
  <c r="I244" i="4"/>
  <c r="J244" i="4"/>
  <c r="H245" i="4"/>
  <c r="I245" i="4"/>
  <c r="J245" i="4"/>
  <c r="H246" i="4"/>
  <c r="I246" i="4"/>
  <c r="J246" i="4"/>
  <c r="H247" i="4"/>
  <c r="I247" i="4"/>
  <c r="J247" i="4"/>
  <c r="H248" i="4"/>
  <c r="I248" i="4"/>
  <c r="J248" i="4"/>
  <c r="H249" i="4"/>
  <c r="I249" i="4"/>
  <c r="J249" i="4"/>
  <c r="H250" i="4"/>
  <c r="I250" i="4"/>
  <c r="J250" i="4"/>
  <c r="H251" i="4"/>
  <c r="I251" i="4"/>
  <c r="J251" i="4"/>
  <c r="H252" i="4"/>
  <c r="I252" i="4"/>
  <c r="J252" i="4"/>
  <c r="H253" i="4"/>
  <c r="I253" i="4"/>
  <c r="J253" i="4"/>
  <c r="H254" i="4"/>
  <c r="I254" i="4"/>
  <c r="J254" i="4"/>
  <c r="H255" i="4"/>
  <c r="I255" i="4"/>
  <c r="J255" i="4"/>
  <c r="H256" i="4"/>
  <c r="I256" i="4"/>
  <c r="J256" i="4"/>
  <c r="H257" i="4"/>
  <c r="I257" i="4"/>
  <c r="J257" i="4"/>
  <c r="H258" i="4"/>
  <c r="I258" i="4"/>
  <c r="J258" i="4"/>
  <c r="H259" i="4"/>
  <c r="I259" i="4"/>
  <c r="J259" i="4"/>
  <c r="H260" i="4"/>
  <c r="I260" i="4"/>
  <c r="J260" i="4"/>
  <c r="H261" i="4"/>
  <c r="I261" i="4"/>
  <c r="J261" i="4"/>
  <c r="H262" i="4"/>
  <c r="I262" i="4"/>
  <c r="J262" i="4"/>
  <c r="H263" i="4"/>
  <c r="I263" i="4"/>
  <c r="J263" i="4"/>
  <c r="H264" i="4"/>
  <c r="I264" i="4"/>
  <c r="J264" i="4"/>
  <c r="H265" i="4"/>
  <c r="I265" i="4"/>
  <c r="J265" i="4"/>
  <c r="H266" i="4"/>
  <c r="I266" i="4"/>
  <c r="J266" i="4"/>
  <c r="H267" i="4"/>
  <c r="I267" i="4"/>
  <c r="J267" i="4"/>
  <c r="H268" i="4"/>
  <c r="I268" i="4"/>
  <c r="J268" i="4"/>
  <c r="H269" i="4"/>
  <c r="I269" i="4"/>
  <c r="J269" i="4"/>
  <c r="H270" i="4"/>
  <c r="I270" i="4"/>
  <c r="J270" i="4"/>
  <c r="H271" i="4"/>
  <c r="I271" i="4"/>
  <c r="J271" i="4"/>
  <c r="H272" i="4"/>
  <c r="I272" i="4"/>
  <c r="J272" i="4"/>
  <c r="H273" i="4"/>
  <c r="I273" i="4"/>
  <c r="J273" i="4"/>
  <c r="H274" i="4"/>
  <c r="I274" i="4"/>
  <c r="J274" i="4"/>
  <c r="H275" i="4"/>
  <c r="I275" i="4"/>
  <c r="J275" i="4"/>
  <c r="H276" i="4"/>
  <c r="I276" i="4"/>
  <c r="J276" i="4"/>
  <c r="H277" i="4"/>
  <c r="I277" i="4"/>
  <c r="J277" i="4"/>
  <c r="H278" i="4"/>
  <c r="I278" i="4"/>
  <c r="J278" i="4"/>
  <c r="H279" i="4"/>
  <c r="I279" i="4"/>
  <c r="J279" i="4"/>
  <c r="H280" i="4"/>
  <c r="I280" i="4"/>
  <c r="J280" i="4"/>
  <c r="H281" i="4"/>
  <c r="I281" i="4"/>
  <c r="J281" i="4"/>
  <c r="H282" i="4"/>
  <c r="I282" i="4"/>
  <c r="J282" i="4"/>
  <c r="H283" i="4"/>
  <c r="I283" i="4"/>
  <c r="J283" i="4"/>
  <c r="H284" i="4"/>
  <c r="I284" i="4"/>
  <c r="J284" i="4"/>
  <c r="H285" i="4"/>
  <c r="I285" i="4"/>
  <c r="J285" i="4"/>
  <c r="H286" i="4"/>
  <c r="I286" i="4"/>
  <c r="J286" i="4"/>
  <c r="H287" i="4"/>
  <c r="I287" i="4"/>
  <c r="J287" i="4"/>
  <c r="H288" i="4"/>
  <c r="I288" i="4"/>
  <c r="J288" i="4"/>
  <c r="H289" i="4"/>
  <c r="I289" i="4"/>
  <c r="J289" i="4"/>
  <c r="H290" i="4"/>
  <c r="I290" i="4"/>
  <c r="J290" i="4"/>
  <c r="H291" i="4"/>
  <c r="I291" i="4"/>
  <c r="J291" i="4"/>
  <c r="H292" i="4"/>
  <c r="I292" i="4"/>
  <c r="J292" i="4"/>
  <c r="H293" i="4"/>
  <c r="I293" i="4"/>
  <c r="J293" i="4"/>
  <c r="H294" i="4"/>
  <c r="I294" i="4"/>
  <c r="J294" i="4"/>
  <c r="H295" i="4"/>
  <c r="I295" i="4"/>
  <c r="J295" i="4"/>
  <c r="H296" i="4"/>
  <c r="I296" i="4"/>
  <c r="J296" i="4"/>
  <c r="H297" i="4"/>
  <c r="I297" i="4"/>
  <c r="J297" i="4"/>
  <c r="H298" i="4"/>
  <c r="I298" i="4"/>
  <c r="J298" i="4"/>
  <c r="H299" i="4"/>
  <c r="I299" i="4"/>
  <c r="J299" i="4"/>
  <c r="H300" i="4"/>
  <c r="I300" i="4"/>
  <c r="J300" i="4"/>
  <c r="H301" i="4"/>
  <c r="I301" i="4"/>
  <c r="J301" i="4"/>
  <c r="H302" i="4"/>
  <c r="I302" i="4"/>
  <c r="J302" i="4"/>
  <c r="H303" i="4"/>
  <c r="I303" i="4"/>
  <c r="J303" i="4"/>
  <c r="H304" i="4"/>
  <c r="I304" i="4"/>
  <c r="J304" i="4"/>
  <c r="H305" i="4"/>
  <c r="I305" i="4"/>
  <c r="J305" i="4"/>
  <c r="H306" i="4"/>
  <c r="I306" i="4"/>
  <c r="J306" i="4"/>
  <c r="H307" i="4"/>
  <c r="I307" i="4"/>
  <c r="J307" i="4"/>
  <c r="H308" i="4"/>
  <c r="I308" i="4"/>
  <c r="J308" i="4"/>
  <c r="H309" i="4"/>
  <c r="I309" i="4"/>
  <c r="J309" i="4"/>
  <c r="H310" i="4"/>
  <c r="I310" i="4"/>
  <c r="J310" i="4"/>
  <c r="H311" i="4"/>
  <c r="I311" i="4"/>
  <c r="J311" i="4"/>
  <c r="H312" i="4"/>
  <c r="I312" i="4"/>
  <c r="J312" i="4"/>
  <c r="H313" i="4"/>
  <c r="I313" i="4"/>
  <c r="J313" i="4"/>
  <c r="H314" i="4"/>
  <c r="I314" i="4"/>
  <c r="J314" i="4"/>
  <c r="H315" i="4"/>
  <c r="I315" i="4"/>
  <c r="J315" i="4"/>
  <c r="H316" i="4"/>
  <c r="I316" i="4"/>
  <c r="J316" i="4"/>
  <c r="H317" i="4"/>
  <c r="I317" i="4"/>
  <c r="J317" i="4"/>
  <c r="H318" i="4"/>
  <c r="I318" i="4"/>
  <c r="J318" i="4"/>
  <c r="H319" i="4"/>
  <c r="I319" i="4"/>
  <c r="J319" i="4"/>
  <c r="H320" i="4"/>
  <c r="I320" i="4"/>
  <c r="J320" i="4"/>
  <c r="H321" i="4"/>
  <c r="I321" i="4"/>
  <c r="J321" i="4"/>
  <c r="H322" i="4"/>
  <c r="I322" i="4"/>
  <c r="J322" i="4"/>
  <c r="H323" i="4"/>
  <c r="I323" i="4"/>
  <c r="J323" i="4"/>
  <c r="H324" i="4"/>
  <c r="I324" i="4"/>
  <c r="J324" i="4"/>
  <c r="H325" i="4"/>
  <c r="I325" i="4"/>
  <c r="J325" i="4"/>
  <c r="H326" i="4"/>
  <c r="I326" i="4"/>
  <c r="J326" i="4"/>
  <c r="H327" i="4"/>
  <c r="I327" i="4"/>
  <c r="J327" i="4"/>
  <c r="H328" i="4"/>
  <c r="I328" i="4"/>
  <c r="J328" i="4"/>
  <c r="H329" i="4"/>
  <c r="I329" i="4"/>
  <c r="J329" i="4"/>
  <c r="H330" i="4"/>
  <c r="I330" i="4"/>
  <c r="J330" i="4"/>
  <c r="H331" i="4"/>
  <c r="I331" i="4"/>
  <c r="J331" i="4"/>
  <c r="H332" i="4"/>
  <c r="I332" i="4"/>
  <c r="J332" i="4"/>
  <c r="H333" i="4"/>
  <c r="I333" i="4"/>
  <c r="J333" i="4"/>
  <c r="H334" i="4"/>
  <c r="I334" i="4"/>
  <c r="J334" i="4"/>
  <c r="H335" i="4"/>
  <c r="I335" i="4"/>
  <c r="J335" i="4"/>
  <c r="H336" i="4"/>
  <c r="I336" i="4"/>
  <c r="J336" i="4"/>
  <c r="H337" i="4"/>
  <c r="I337" i="4"/>
  <c r="J337" i="4"/>
  <c r="H338" i="4"/>
  <c r="I338" i="4"/>
  <c r="J338" i="4"/>
  <c r="H339" i="4"/>
  <c r="I339" i="4"/>
  <c r="J339" i="4"/>
  <c r="H340" i="4"/>
  <c r="I340" i="4"/>
  <c r="J340" i="4"/>
  <c r="H341" i="4"/>
  <c r="I341" i="4"/>
  <c r="J341" i="4"/>
  <c r="H342" i="4"/>
  <c r="I342" i="4"/>
  <c r="J342" i="4"/>
  <c r="H343" i="4"/>
  <c r="I343" i="4"/>
  <c r="J343" i="4"/>
  <c r="H344" i="4"/>
  <c r="I344" i="4"/>
  <c r="J344" i="4"/>
  <c r="H345" i="4"/>
  <c r="I345" i="4"/>
  <c r="J345" i="4"/>
  <c r="H346" i="4"/>
  <c r="I346" i="4"/>
  <c r="J346" i="4"/>
  <c r="H347" i="4"/>
  <c r="I347" i="4"/>
  <c r="J347" i="4"/>
  <c r="H348" i="4"/>
  <c r="I348" i="4"/>
  <c r="J348" i="4"/>
  <c r="H349" i="4"/>
  <c r="I349" i="4"/>
  <c r="J349" i="4"/>
  <c r="H350" i="4"/>
  <c r="I350" i="4"/>
  <c r="J350" i="4"/>
  <c r="H351" i="4"/>
  <c r="I351" i="4"/>
  <c r="J351" i="4"/>
  <c r="H352" i="4"/>
  <c r="I352" i="4"/>
  <c r="J352" i="4"/>
  <c r="H353" i="4"/>
  <c r="I353" i="4"/>
  <c r="J353" i="4"/>
  <c r="H354" i="4"/>
  <c r="I354" i="4"/>
  <c r="J354" i="4"/>
  <c r="H355" i="4"/>
  <c r="I355" i="4"/>
  <c r="J355" i="4"/>
  <c r="H356" i="4"/>
  <c r="I356" i="4"/>
  <c r="J356" i="4"/>
  <c r="H357" i="4"/>
  <c r="I357" i="4"/>
  <c r="J357" i="4"/>
  <c r="H358" i="4"/>
  <c r="I358" i="4"/>
  <c r="J358" i="4"/>
  <c r="H359" i="4"/>
  <c r="I359" i="4"/>
  <c r="J359" i="4"/>
  <c r="H360" i="4"/>
  <c r="I360" i="4"/>
  <c r="J360" i="4"/>
  <c r="H361" i="4"/>
  <c r="I361" i="4"/>
  <c r="J361" i="4"/>
  <c r="H362" i="4"/>
  <c r="I362" i="4"/>
  <c r="J362" i="4"/>
  <c r="H363" i="4"/>
  <c r="I363" i="4"/>
  <c r="J363" i="4"/>
  <c r="H364" i="4"/>
  <c r="I364" i="4"/>
  <c r="J364" i="4"/>
  <c r="H365" i="4"/>
  <c r="I365" i="4"/>
  <c r="J365" i="4"/>
  <c r="H366" i="4"/>
  <c r="I366" i="4"/>
  <c r="J366" i="4"/>
  <c r="H367" i="4"/>
  <c r="I367" i="4"/>
  <c r="J367" i="4"/>
  <c r="H368" i="4"/>
  <c r="I368" i="4"/>
  <c r="J368" i="4"/>
  <c r="H369" i="4"/>
  <c r="I369" i="4"/>
  <c r="J369" i="4"/>
  <c r="H370" i="4"/>
  <c r="I370" i="4"/>
  <c r="J370" i="4"/>
  <c r="H371" i="4"/>
  <c r="I371" i="4"/>
  <c r="J371" i="4"/>
  <c r="H372" i="4"/>
  <c r="I372" i="4"/>
  <c r="J372" i="4"/>
  <c r="H373" i="4"/>
  <c r="I373" i="4"/>
  <c r="J373" i="4"/>
  <c r="H374" i="4"/>
  <c r="I374" i="4"/>
  <c r="J374" i="4"/>
  <c r="H375" i="4"/>
  <c r="I375" i="4"/>
  <c r="J375" i="4"/>
  <c r="H376" i="4"/>
  <c r="I376" i="4"/>
  <c r="J376" i="4"/>
  <c r="H377" i="4"/>
  <c r="I377" i="4"/>
  <c r="J377" i="4"/>
  <c r="H378" i="4"/>
  <c r="I378" i="4"/>
  <c r="J378" i="4"/>
  <c r="H379" i="4"/>
  <c r="I379" i="4"/>
  <c r="J379" i="4"/>
  <c r="H380" i="4"/>
  <c r="I380" i="4"/>
  <c r="J380" i="4"/>
  <c r="H381" i="4"/>
  <c r="I381" i="4"/>
  <c r="J381" i="4"/>
  <c r="H382" i="4"/>
  <c r="I382" i="4"/>
  <c r="J382" i="4"/>
  <c r="H383" i="4"/>
  <c r="I383" i="4"/>
  <c r="J383" i="4"/>
  <c r="H384" i="4"/>
  <c r="I384" i="4"/>
  <c r="J384" i="4"/>
  <c r="H385" i="4"/>
  <c r="I385" i="4"/>
  <c r="J385" i="4"/>
  <c r="H386" i="4"/>
  <c r="I386" i="4"/>
  <c r="J386" i="4"/>
  <c r="H387" i="4"/>
  <c r="I387" i="4"/>
  <c r="J387" i="4"/>
  <c r="H388" i="4"/>
  <c r="I388" i="4"/>
  <c r="J388" i="4"/>
  <c r="H389" i="4"/>
  <c r="I389" i="4"/>
  <c r="J389" i="4"/>
  <c r="H390" i="4"/>
  <c r="I390" i="4"/>
  <c r="J390" i="4"/>
  <c r="H391" i="4"/>
  <c r="I391" i="4"/>
  <c r="J391" i="4"/>
  <c r="H392" i="4"/>
  <c r="I392" i="4"/>
  <c r="J392" i="4"/>
  <c r="H393" i="4"/>
  <c r="I393" i="4"/>
  <c r="J393" i="4"/>
  <c r="H394" i="4"/>
  <c r="I394" i="4"/>
  <c r="J394" i="4"/>
  <c r="H395" i="4"/>
  <c r="I395" i="4"/>
  <c r="J395" i="4"/>
  <c r="H396" i="4"/>
  <c r="I396" i="4"/>
  <c r="J396" i="4"/>
  <c r="H397" i="4"/>
  <c r="I397" i="4"/>
  <c r="J397" i="4"/>
  <c r="H398" i="4"/>
  <c r="I398" i="4"/>
  <c r="J398" i="4"/>
  <c r="H399" i="4"/>
  <c r="I399" i="4"/>
  <c r="J399" i="4"/>
  <c r="H400" i="4"/>
  <c r="I400" i="4"/>
  <c r="J400" i="4"/>
  <c r="H401" i="4"/>
  <c r="I401" i="4"/>
  <c r="J401" i="4"/>
  <c r="H402" i="4"/>
  <c r="I402" i="4"/>
  <c r="J402" i="4"/>
  <c r="H403" i="4"/>
  <c r="I403" i="4"/>
  <c r="J403" i="4"/>
  <c r="H404" i="4"/>
  <c r="I404" i="4"/>
  <c r="J404" i="4"/>
  <c r="H405" i="4"/>
  <c r="I405" i="4"/>
  <c r="J405" i="4"/>
  <c r="H406" i="4"/>
  <c r="I406" i="4"/>
  <c r="J406" i="4"/>
  <c r="H407" i="4"/>
  <c r="I407" i="4"/>
  <c r="J407" i="4"/>
  <c r="H408" i="4"/>
  <c r="I408" i="4"/>
  <c r="J408" i="4"/>
  <c r="H409" i="4"/>
  <c r="I409" i="4"/>
  <c r="J409" i="4"/>
  <c r="H410" i="4"/>
  <c r="I410" i="4"/>
  <c r="J410" i="4"/>
  <c r="H411" i="4"/>
  <c r="I411" i="4"/>
  <c r="J411" i="4"/>
  <c r="H412" i="4"/>
  <c r="I412" i="4"/>
  <c r="J412" i="4"/>
  <c r="H413" i="4"/>
  <c r="I413" i="4"/>
  <c r="J413" i="4"/>
  <c r="H414" i="4"/>
  <c r="I414" i="4"/>
  <c r="J414" i="4"/>
  <c r="H415" i="4"/>
  <c r="I415" i="4"/>
  <c r="J415" i="4"/>
  <c r="H416" i="4"/>
  <c r="I416" i="4"/>
  <c r="J416" i="4"/>
  <c r="H417" i="4"/>
  <c r="I417" i="4"/>
  <c r="J417" i="4"/>
  <c r="H418" i="4"/>
  <c r="I418" i="4"/>
  <c r="J418" i="4"/>
  <c r="H419" i="4"/>
  <c r="I419" i="4"/>
  <c r="J419" i="4"/>
  <c r="H420" i="4"/>
  <c r="I420" i="4"/>
  <c r="J420" i="4"/>
  <c r="H421" i="4"/>
  <c r="I421" i="4"/>
  <c r="J421" i="4"/>
  <c r="H422" i="4"/>
  <c r="I422" i="4"/>
  <c r="J422" i="4"/>
  <c r="H423" i="4"/>
  <c r="I423" i="4"/>
  <c r="J423" i="4"/>
  <c r="H424" i="4"/>
  <c r="I424" i="4"/>
  <c r="J424" i="4"/>
  <c r="H425" i="4"/>
  <c r="I425" i="4"/>
  <c r="J425" i="4"/>
  <c r="H426" i="4"/>
  <c r="I426" i="4"/>
  <c r="J426" i="4"/>
  <c r="H427" i="4"/>
  <c r="I427" i="4"/>
  <c r="J427" i="4"/>
  <c r="H428" i="4"/>
  <c r="I428" i="4"/>
  <c r="J428" i="4"/>
  <c r="H429" i="4"/>
  <c r="I429" i="4"/>
  <c r="J429" i="4"/>
  <c r="H430" i="4"/>
  <c r="I430" i="4"/>
  <c r="J430" i="4"/>
  <c r="H431" i="4"/>
  <c r="I431" i="4"/>
  <c r="J431" i="4"/>
  <c r="H432" i="4"/>
  <c r="I432" i="4"/>
  <c r="J432" i="4"/>
  <c r="H433" i="4"/>
  <c r="I433" i="4"/>
  <c r="J433" i="4"/>
  <c r="H434" i="4"/>
  <c r="I434" i="4"/>
  <c r="J434" i="4"/>
  <c r="H435" i="4"/>
  <c r="I435" i="4"/>
  <c r="J435" i="4"/>
  <c r="H436" i="4"/>
  <c r="I436" i="4"/>
  <c r="J436" i="4"/>
  <c r="H437" i="4"/>
  <c r="I437" i="4"/>
  <c r="J437" i="4"/>
  <c r="H438" i="4"/>
  <c r="I438" i="4"/>
  <c r="J438" i="4"/>
  <c r="H439" i="4"/>
  <c r="I439" i="4"/>
  <c r="J439" i="4"/>
  <c r="H440" i="4"/>
  <c r="I440" i="4"/>
  <c r="J440" i="4"/>
  <c r="H441" i="4"/>
  <c r="I441" i="4"/>
  <c r="J441" i="4"/>
  <c r="H442" i="4"/>
  <c r="I442" i="4"/>
  <c r="J442" i="4"/>
  <c r="H443" i="4"/>
  <c r="I443" i="4"/>
  <c r="J443" i="4"/>
  <c r="H444" i="4"/>
  <c r="I444" i="4"/>
  <c r="J444" i="4"/>
  <c r="H445" i="4"/>
  <c r="I445" i="4"/>
  <c r="J445" i="4"/>
  <c r="H446" i="4"/>
  <c r="I446" i="4"/>
  <c r="J446" i="4"/>
  <c r="H447" i="4"/>
  <c r="I447" i="4"/>
  <c r="J447" i="4"/>
  <c r="H448" i="4"/>
  <c r="I448" i="4"/>
  <c r="J448" i="4"/>
  <c r="H449" i="4"/>
  <c r="I449" i="4"/>
  <c r="J449" i="4"/>
  <c r="H450" i="4"/>
  <c r="I450" i="4"/>
  <c r="J450" i="4"/>
  <c r="H451" i="4"/>
  <c r="I451" i="4"/>
  <c r="J451" i="4"/>
  <c r="H452" i="4"/>
  <c r="I452" i="4"/>
  <c r="J452" i="4"/>
  <c r="H453" i="4"/>
  <c r="I453" i="4"/>
  <c r="J453" i="4"/>
  <c r="H454" i="4"/>
  <c r="I454" i="4"/>
  <c r="J454" i="4"/>
  <c r="H455" i="4"/>
  <c r="I455" i="4"/>
  <c r="J455" i="4"/>
  <c r="H456" i="4"/>
  <c r="I456" i="4"/>
  <c r="J456" i="4"/>
  <c r="H457" i="4"/>
  <c r="I457" i="4"/>
  <c r="J457" i="4"/>
  <c r="H458" i="4"/>
  <c r="I458" i="4"/>
  <c r="J458" i="4"/>
  <c r="H459" i="4"/>
  <c r="I459" i="4"/>
  <c r="J459" i="4"/>
  <c r="H460" i="4"/>
  <c r="I460" i="4"/>
  <c r="J460" i="4"/>
  <c r="H461" i="4"/>
  <c r="I461" i="4"/>
  <c r="J461" i="4"/>
  <c r="H462" i="4"/>
  <c r="I462" i="4"/>
  <c r="J462" i="4"/>
  <c r="H463" i="4"/>
  <c r="I463" i="4"/>
  <c r="J463" i="4"/>
  <c r="H464" i="4"/>
  <c r="I464" i="4"/>
  <c r="J464" i="4"/>
  <c r="H465" i="4"/>
  <c r="I465" i="4"/>
  <c r="J465" i="4"/>
  <c r="H466" i="4"/>
  <c r="I466" i="4"/>
  <c r="J466" i="4"/>
  <c r="H467" i="4"/>
  <c r="I467" i="4"/>
  <c r="J467" i="4"/>
  <c r="H468" i="4"/>
  <c r="I468" i="4"/>
  <c r="J468" i="4"/>
  <c r="H469" i="4"/>
  <c r="I469" i="4"/>
  <c r="J469" i="4"/>
  <c r="H470" i="4"/>
  <c r="I470" i="4"/>
  <c r="J470" i="4"/>
  <c r="H471" i="4"/>
  <c r="I471" i="4"/>
  <c r="J471" i="4"/>
  <c r="H472" i="4"/>
  <c r="I472" i="4"/>
  <c r="J472" i="4"/>
  <c r="H473" i="4"/>
  <c r="I473" i="4"/>
  <c r="J473" i="4"/>
  <c r="H474" i="4"/>
  <c r="I474" i="4"/>
  <c r="J474" i="4"/>
  <c r="H475" i="4"/>
  <c r="I475" i="4"/>
  <c r="J475" i="4"/>
  <c r="H476" i="4"/>
  <c r="I476" i="4"/>
  <c r="J476" i="4"/>
  <c r="H477" i="4"/>
  <c r="I477" i="4"/>
  <c r="J477" i="4"/>
  <c r="H478" i="4"/>
  <c r="I478" i="4"/>
  <c r="J478" i="4"/>
  <c r="H479" i="4"/>
  <c r="I479" i="4"/>
  <c r="J479" i="4"/>
  <c r="H480" i="4"/>
  <c r="I480" i="4"/>
  <c r="J480" i="4"/>
  <c r="H481" i="4"/>
  <c r="I481" i="4"/>
  <c r="J481" i="4"/>
  <c r="H482" i="4"/>
  <c r="I482" i="4"/>
  <c r="J482" i="4"/>
  <c r="H483" i="4"/>
  <c r="I483" i="4"/>
  <c r="J483" i="4"/>
  <c r="H484" i="4"/>
  <c r="I484" i="4"/>
  <c r="J484" i="4"/>
  <c r="H485" i="4"/>
  <c r="I485" i="4"/>
  <c r="J485" i="4"/>
  <c r="H486" i="4"/>
  <c r="I486" i="4"/>
  <c r="J486" i="4"/>
  <c r="H487" i="4"/>
  <c r="I487" i="4"/>
  <c r="J487" i="4"/>
  <c r="H488" i="4"/>
  <c r="I488" i="4"/>
  <c r="J488" i="4"/>
  <c r="H489" i="4"/>
  <c r="I489" i="4"/>
  <c r="J489" i="4"/>
  <c r="H490" i="4"/>
  <c r="I490" i="4"/>
  <c r="J490" i="4"/>
  <c r="H491" i="4"/>
  <c r="I491" i="4"/>
  <c r="J491" i="4"/>
  <c r="H492" i="4"/>
  <c r="I492" i="4"/>
  <c r="J492" i="4"/>
  <c r="H493" i="4"/>
  <c r="I493" i="4"/>
  <c r="J493" i="4"/>
  <c r="H494" i="4"/>
  <c r="I494" i="4"/>
  <c r="J494" i="4"/>
  <c r="H495" i="4"/>
  <c r="I495" i="4"/>
  <c r="J495" i="4"/>
  <c r="H496" i="4"/>
  <c r="I496" i="4"/>
  <c r="J496" i="4"/>
  <c r="H497" i="4"/>
  <c r="I497" i="4"/>
  <c r="J497" i="4"/>
  <c r="H498" i="4"/>
  <c r="I498" i="4"/>
  <c r="J498" i="4"/>
  <c r="H499" i="4"/>
  <c r="I499" i="4"/>
  <c r="J499" i="4"/>
  <c r="H500" i="4"/>
  <c r="I500" i="4"/>
  <c r="J500" i="4"/>
  <c r="H501" i="4"/>
  <c r="I501" i="4"/>
  <c r="J501" i="4"/>
  <c r="H502" i="4"/>
  <c r="I502" i="4"/>
  <c r="J502" i="4"/>
  <c r="H503" i="4"/>
  <c r="I503" i="4"/>
  <c r="J503" i="4"/>
  <c r="H504" i="4"/>
  <c r="I504" i="4"/>
  <c r="J504" i="4"/>
  <c r="H505" i="4"/>
  <c r="I505" i="4"/>
  <c r="J505" i="4"/>
  <c r="H506" i="4"/>
  <c r="I506" i="4"/>
  <c r="J506" i="4"/>
  <c r="H507" i="4"/>
  <c r="I507" i="4"/>
  <c r="J507" i="4"/>
  <c r="H508" i="4"/>
  <c r="I508" i="4"/>
  <c r="J508" i="4"/>
  <c r="H509" i="4"/>
  <c r="I509" i="4"/>
  <c r="J509" i="4"/>
  <c r="H510" i="4"/>
  <c r="I510" i="4"/>
  <c r="J510" i="4"/>
  <c r="H511" i="4"/>
  <c r="I511" i="4"/>
  <c r="J511" i="4"/>
  <c r="H512" i="4"/>
  <c r="I512" i="4"/>
  <c r="J512" i="4"/>
  <c r="H513" i="4"/>
  <c r="I513" i="4"/>
  <c r="J513" i="4"/>
  <c r="H514" i="4"/>
  <c r="I514" i="4"/>
  <c r="J514" i="4"/>
  <c r="H515" i="4"/>
  <c r="I515" i="4"/>
  <c r="J515" i="4"/>
  <c r="H516" i="4"/>
  <c r="I516" i="4"/>
  <c r="J516" i="4"/>
  <c r="H517" i="4"/>
  <c r="I517" i="4"/>
  <c r="J517" i="4"/>
  <c r="H518" i="4"/>
  <c r="I518" i="4"/>
  <c r="J518" i="4"/>
  <c r="H519" i="4"/>
  <c r="I519" i="4"/>
  <c r="J519" i="4"/>
  <c r="H520" i="4"/>
  <c r="I520" i="4"/>
  <c r="J520" i="4"/>
  <c r="H521" i="4"/>
  <c r="I521" i="4"/>
  <c r="J521" i="4"/>
  <c r="H522" i="4"/>
  <c r="I522" i="4"/>
  <c r="J522" i="4"/>
  <c r="H523" i="4"/>
  <c r="I523" i="4"/>
  <c r="J523" i="4"/>
  <c r="H524" i="4"/>
  <c r="I524" i="4"/>
  <c r="J524" i="4"/>
  <c r="H525" i="4"/>
  <c r="I525" i="4"/>
  <c r="J525" i="4"/>
  <c r="H526" i="4"/>
  <c r="I526" i="4"/>
  <c r="J526" i="4"/>
  <c r="H527" i="4"/>
  <c r="I527" i="4"/>
  <c r="J527" i="4"/>
  <c r="H528" i="4"/>
  <c r="I528" i="4"/>
  <c r="J528" i="4"/>
  <c r="H529" i="4"/>
  <c r="I529" i="4"/>
  <c r="J529" i="4"/>
  <c r="H530" i="4"/>
  <c r="I530" i="4"/>
  <c r="J530" i="4"/>
  <c r="H531" i="4"/>
  <c r="I531" i="4"/>
  <c r="J531" i="4"/>
  <c r="H532" i="4"/>
  <c r="I532" i="4"/>
  <c r="J532" i="4"/>
  <c r="H533" i="4"/>
  <c r="I533" i="4"/>
  <c r="J533" i="4"/>
  <c r="H534" i="4"/>
  <c r="I534" i="4"/>
  <c r="J534" i="4"/>
  <c r="H535" i="4"/>
  <c r="I535" i="4"/>
  <c r="J535" i="4"/>
  <c r="H536" i="4"/>
  <c r="I536" i="4"/>
  <c r="J536" i="4"/>
  <c r="H537" i="4"/>
  <c r="I537" i="4"/>
  <c r="J537" i="4"/>
  <c r="H538" i="4"/>
  <c r="I538" i="4"/>
  <c r="J538" i="4"/>
  <c r="H539" i="4"/>
  <c r="I539" i="4"/>
  <c r="J539" i="4"/>
  <c r="H540" i="4"/>
  <c r="I540" i="4"/>
  <c r="J540" i="4"/>
  <c r="H541" i="4"/>
  <c r="I541" i="4"/>
  <c r="J541" i="4"/>
  <c r="H542" i="4"/>
  <c r="I542" i="4"/>
  <c r="J542" i="4"/>
  <c r="H543" i="4"/>
  <c r="I543" i="4"/>
  <c r="J543" i="4"/>
  <c r="H544" i="4"/>
  <c r="I544" i="4"/>
  <c r="J544" i="4"/>
  <c r="H545" i="4"/>
  <c r="I545" i="4"/>
  <c r="J545" i="4"/>
  <c r="H546" i="4"/>
  <c r="I546" i="4"/>
  <c r="J546" i="4"/>
  <c r="H547" i="4"/>
  <c r="I547" i="4"/>
  <c r="J547" i="4"/>
  <c r="H548" i="4"/>
  <c r="I548" i="4"/>
  <c r="J548" i="4"/>
  <c r="H549" i="4"/>
  <c r="I549" i="4"/>
  <c r="J549" i="4"/>
  <c r="H550" i="4"/>
  <c r="I550" i="4"/>
  <c r="J550" i="4"/>
  <c r="H551" i="4"/>
  <c r="I551" i="4"/>
  <c r="J551" i="4"/>
  <c r="H552" i="4"/>
  <c r="I552" i="4"/>
  <c r="J552" i="4"/>
  <c r="H553" i="4"/>
  <c r="I553" i="4"/>
  <c r="J553" i="4"/>
  <c r="H554" i="4"/>
  <c r="I554" i="4"/>
  <c r="J554" i="4"/>
  <c r="H555" i="4"/>
  <c r="I555" i="4"/>
  <c r="J555" i="4"/>
  <c r="H556" i="4"/>
  <c r="I556" i="4"/>
  <c r="J556" i="4"/>
  <c r="H557" i="4"/>
  <c r="I557" i="4"/>
  <c r="J557" i="4"/>
  <c r="H558" i="4"/>
  <c r="I558" i="4"/>
  <c r="J558" i="4"/>
  <c r="H559" i="4"/>
  <c r="I559" i="4"/>
  <c r="J559" i="4"/>
  <c r="H560" i="4"/>
  <c r="I560" i="4"/>
  <c r="J560" i="4"/>
  <c r="H561" i="4"/>
  <c r="I561" i="4"/>
  <c r="J561" i="4"/>
  <c r="H562" i="4"/>
  <c r="I562" i="4"/>
  <c r="J562" i="4"/>
  <c r="H563" i="4"/>
  <c r="I563" i="4"/>
  <c r="J563" i="4"/>
  <c r="H564" i="4"/>
  <c r="I564" i="4"/>
  <c r="J564" i="4"/>
  <c r="H565" i="4"/>
  <c r="I565" i="4"/>
  <c r="J565" i="4"/>
  <c r="H566" i="4"/>
  <c r="I566" i="4"/>
  <c r="J566" i="4"/>
  <c r="H567" i="4"/>
  <c r="I567" i="4"/>
  <c r="J567" i="4"/>
  <c r="H568" i="4"/>
  <c r="I568" i="4"/>
  <c r="J568" i="4"/>
  <c r="H569" i="4"/>
  <c r="I569" i="4"/>
  <c r="J569" i="4"/>
  <c r="H570" i="4"/>
  <c r="I570" i="4"/>
  <c r="J570" i="4"/>
  <c r="H571" i="4"/>
  <c r="I571" i="4"/>
  <c r="J571" i="4"/>
  <c r="H572" i="4"/>
  <c r="I572" i="4"/>
  <c r="J572" i="4"/>
  <c r="H573" i="4"/>
  <c r="I573" i="4"/>
  <c r="J573" i="4"/>
  <c r="H574" i="4"/>
  <c r="I574" i="4"/>
  <c r="J574" i="4"/>
  <c r="H575" i="4"/>
  <c r="I575" i="4"/>
  <c r="J575" i="4"/>
  <c r="H576" i="4"/>
  <c r="I576" i="4"/>
  <c r="J576" i="4"/>
  <c r="H577" i="4"/>
  <c r="I577" i="4"/>
  <c r="J577" i="4"/>
  <c r="H578" i="4"/>
  <c r="I578" i="4"/>
  <c r="J578" i="4"/>
  <c r="H579" i="4"/>
  <c r="I579" i="4"/>
  <c r="J579" i="4"/>
  <c r="H580" i="4"/>
  <c r="I580" i="4"/>
  <c r="J580" i="4"/>
  <c r="H581" i="4"/>
  <c r="I581" i="4"/>
  <c r="J581" i="4"/>
  <c r="H582" i="4"/>
  <c r="I582" i="4"/>
  <c r="J582" i="4"/>
  <c r="H583" i="4"/>
  <c r="I583" i="4"/>
  <c r="J583" i="4"/>
  <c r="H584" i="4"/>
  <c r="I584" i="4"/>
  <c r="J584" i="4"/>
  <c r="H585" i="4"/>
  <c r="I585" i="4"/>
  <c r="J585" i="4"/>
  <c r="H586" i="4"/>
  <c r="I586" i="4"/>
  <c r="J586" i="4"/>
  <c r="H587" i="4"/>
  <c r="I587" i="4"/>
  <c r="J587" i="4"/>
  <c r="H588" i="4"/>
  <c r="I588" i="4"/>
  <c r="J588" i="4"/>
  <c r="H589" i="4"/>
  <c r="I589" i="4"/>
  <c r="J589" i="4"/>
  <c r="H590" i="4"/>
  <c r="I590" i="4"/>
  <c r="J590" i="4"/>
  <c r="H591" i="4"/>
  <c r="I591" i="4"/>
  <c r="J591" i="4"/>
  <c r="H592" i="4"/>
  <c r="I592" i="4"/>
  <c r="J592" i="4"/>
  <c r="H593" i="4"/>
  <c r="I593" i="4"/>
  <c r="J593" i="4"/>
  <c r="H594" i="4"/>
  <c r="I594" i="4"/>
  <c r="J594" i="4"/>
  <c r="H595" i="4"/>
  <c r="I595" i="4"/>
  <c r="J595" i="4"/>
  <c r="H596" i="4"/>
  <c r="I596" i="4"/>
  <c r="J596" i="4"/>
  <c r="H597" i="4"/>
  <c r="I597" i="4"/>
  <c r="J597" i="4"/>
  <c r="H598" i="4"/>
  <c r="I598" i="4"/>
  <c r="J598" i="4"/>
  <c r="H599" i="4"/>
  <c r="I599" i="4"/>
  <c r="J599" i="4"/>
  <c r="H600" i="4"/>
  <c r="I600" i="4"/>
  <c r="J600" i="4"/>
  <c r="H601" i="4"/>
  <c r="I601" i="4"/>
  <c r="J601" i="4"/>
  <c r="H602" i="4"/>
  <c r="I602" i="4"/>
  <c r="J602" i="4"/>
  <c r="H603" i="4"/>
  <c r="I603" i="4"/>
  <c r="J603" i="4"/>
  <c r="H604" i="4"/>
  <c r="I604" i="4"/>
  <c r="J604" i="4"/>
  <c r="H605" i="4"/>
  <c r="I605" i="4"/>
  <c r="J605" i="4"/>
  <c r="H606" i="4"/>
  <c r="I606" i="4"/>
  <c r="J606" i="4"/>
  <c r="H607" i="4"/>
  <c r="I607" i="4"/>
  <c r="J607" i="4"/>
  <c r="H608" i="4"/>
  <c r="I608" i="4"/>
  <c r="J608" i="4"/>
  <c r="H609" i="4"/>
  <c r="I609" i="4"/>
  <c r="J609" i="4"/>
  <c r="H610" i="4"/>
  <c r="I610" i="4"/>
  <c r="J610" i="4"/>
  <c r="H611" i="4"/>
  <c r="I611" i="4"/>
  <c r="J611" i="4"/>
  <c r="H612" i="4"/>
  <c r="I612" i="4"/>
  <c r="J612" i="4"/>
  <c r="H613" i="4"/>
  <c r="I613" i="4"/>
  <c r="J613" i="4"/>
  <c r="H614" i="4"/>
  <c r="I614" i="4"/>
  <c r="J614" i="4"/>
  <c r="H615" i="4"/>
  <c r="I615" i="4"/>
  <c r="J615" i="4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I6" i="4" l="1"/>
  <c r="J6" i="4"/>
  <c r="I7" i="4"/>
  <c r="J7" i="4"/>
  <c r="I8" i="4"/>
  <c r="J8" i="4"/>
  <c r="I9" i="4"/>
  <c r="J9" i="4"/>
  <c r="I10" i="4"/>
  <c r="J10" i="4"/>
  <c r="I11" i="4"/>
  <c r="J11" i="4"/>
  <c r="I12" i="4"/>
  <c r="J12" i="4"/>
  <c r="I13" i="4"/>
  <c r="J13" i="4"/>
  <c r="I14" i="4"/>
  <c r="J14" i="4"/>
  <c r="I15" i="4"/>
  <c r="J15" i="4"/>
  <c r="I16" i="4"/>
  <c r="J16" i="4"/>
  <c r="I17" i="4"/>
  <c r="J17" i="4"/>
  <c r="I18" i="4"/>
  <c r="J18" i="4"/>
  <c r="I19" i="4"/>
  <c r="J19" i="4"/>
  <c r="I20" i="4"/>
  <c r="J20" i="4"/>
  <c r="I21" i="4"/>
  <c r="J21" i="4"/>
  <c r="I22" i="4"/>
  <c r="J22" i="4"/>
  <c r="I23" i="4"/>
  <c r="J23" i="4"/>
  <c r="I24" i="4"/>
  <c r="J24" i="4"/>
  <c r="I25" i="4"/>
  <c r="J25" i="4"/>
  <c r="I26" i="4"/>
  <c r="J26" i="4"/>
  <c r="I27" i="4"/>
  <c r="J27" i="4"/>
  <c r="I28" i="4"/>
  <c r="J28" i="4"/>
  <c r="I29" i="4"/>
  <c r="J29" i="4"/>
  <c r="I30" i="4"/>
  <c r="J30" i="4"/>
  <c r="I31" i="4"/>
  <c r="J31" i="4"/>
  <c r="I32" i="4"/>
  <c r="J32" i="4"/>
  <c r="I33" i="4"/>
  <c r="J33" i="4"/>
  <c r="I34" i="4"/>
  <c r="J34" i="4"/>
  <c r="I35" i="4"/>
  <c r="J35" i="4"/>
  <c r="I36" i="4"/>
  <c r="J36" i="4"/>
  <c r="I37" i="4"/>
  <c r="J37" i="4"/>
  <c r="I38" i="4"/>
  <c r="J38" i="4"/>
  <c r="I39" i="4"/>
  <c r="J39" i="4"/>
  <c r="I40" i="4"/>
  <c r="J40" i="4"/>
  <c r="I41" i="4"/>
  <c r="J41" i="4"/>
  <c r="I42" i="4"/>
  <c r="J42" i="4"/>
  <c r="I43" i="4"/>
  <c r="J43" i="4"/>
  <c r="I44" i="4"/>
  <c r="J44" i="4"/>
  <c r="I45" i="4"/>
  <c r="J45" i="4"/>
  <c r="I46" i="4"/>
  <c r="J46" i="4"/>
  <c r="I47" i="4"/>
  <c r="J47" i="4"/>
  <c r="I48" i="4"/>
  <c r="J48" i="4"/>
  <c r="I49" i="4"/>
  <c r="J49" i="4"/>
  <c r="I50" i="4"/>
  <c r="J50" i="4"/>
  <c r="I51" i="4"/>
  <c r="J51" i="4"/>
  <c r="I52" i="4"/>
  <c r="J52" i="4"/>
  <c r="I53" i="4"/>
  <c r="J53" i="4"/>
  <c r="I54" i="4"/>
  <c r="J54" i="4"/>
  <c r="I55" i="4"/>
  <c r="J55" i="4"/>
  <c r="I56" i="4"/>
  <c r="J56" i="4"/>
  <c r="I57" i="4"/>
  <c r="J57" i="4"/>
  <c r="I58" i="4"/>
  <c r="J58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L8" i="2" l="1"/>
  <c r="B40" i="6" l="1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B6" i="2"/>
  <c r="C6" i="2" s="1"/>
  <c r="D6" i="2" s="1"/>
  <c r="E6" i="2" s="1"/>
  <c r="F6" i="2" s="1"/>
  <c r="G6" i="2" s="1"/>
  <c r="H6" i="2" s="1"/>
  <c r="I6" i="2" s="1"/>
  <c r="J6" i="2" s="1"/>
  <c r="K6" i="2" s="1"/>
  <c r="L6" i="2" s="1"/>
  <c r="M6" i="2" s="1"/>
  <c r="N6" i="2" s="1"/>
  <c r="O6" i="2" s="1"/>
  <c r="P6" i="2" s="1"/>
  <c r="Q6" i="2" s="1"/>
  <c r="R6" i="2" s="1"/>
  <c r="S6" i="2" s="1"/>
  <c r="T6" i="2" s="1"/>
  <c r="U6" i="2" s="1"/>
  <c r="V6" i="2" s="1"/>
  <c r="W6" i="2" s="1"/>
  <c r="X6" i="2" s="1"/>
  <c r="Y6" i="2" s="1"/>
  <c r="Z6" i="2" s="1"/>
  <c r="AA6" i="2" s="1"/>
  <c r="AB6" i="2" s="1"/>
  <c r="J824" i="4"/>
  <c r="I824" i="4"/>
  <c r="H824" i="4"/>
  <c r="J823" i="4"/>
  <c r="I823" i="4"/>
  <c r="H823" i="4"/>
  <c r="J822" i="4"/>
  <c r="I822" i="4"/>
  <c r="H822" i="4"/>
  <c r="J821" i="4"/>
  <c r="I821" i="4"/>
  <c r="H821" i="4"/>
  <c r="J820" i="4"/>
  <c r="I820" i="4"/>
  <c r="H820" i="4"/>
  <c r="J819" i="4"/>
  <c r="I819" i="4"/>
  <c r="H819" i="4"/>
  <c r="J818" i="4"/>
  <c r="I818" i="4"/>
  <c r="H818" i="4"/>
  <c r="J817" i="4"/>
  <c r="I817" i="4"/>
  <c r="H817" i="4"/>
  <c r="J816" i="4"/>
  <c r="I816" i="4"/>
  <c r="H816" i="4"/>
  <c r="J815" i="4"/>
  <c r="I815" i="4"/>
  <c r="H815" i="4"/>
  <c r="J814" i="4"/>
  <c r="I814" i="4"/>
  <c r="H814" i="4"/>
  <c r="J813" i="4"/>
  <c r="I813" i="4"/>
  <c r="H813" i="4"/>
  <c r="J812" i="4"/>
  <c r="I812" i="4"/>
  <c r="H812" i="4"/>
  <c r="J811" i="4"/>
  <c r="I811" i="4"/>
  <c r="H811" i="4"/>
  <c r="J810" i="4"/>
  <c r="I810" i="4"/>
  <c r="H810" i="4"/>
  <c r="J809" i="4"/>
  <c r="I809" i="4"/>
  <c r="H809" i="4"/>
  <c r="J808" i="4"/>
  <c r="I808" i="4"/>
  <c r="H808" i="4"/>
  <c r="J807" i="4"/>
  <c r="I807" i="4"/>
  <c r="H807" i="4"/>
  <c r="J806" i="4"/>
  <c r="I806" i="4"/>
  <c r="H806" i="4"/>
  <c r="J805" i="4"/>
  <c r="I805" i="4"/>
  <c r="H805" i="4"/>
  <c r="J804" i="4"/>
  <c r="I804" i="4"/>
  <c r="H804" i="4"/>
  <c r="J803" i="4"/>
  <c r="I803" i="4"/>
  <c r="H803" i="4"/>
  <c r="J802" i="4"/>
  <c r="I802" i="4"/>
  <c r="H802" i="4"/>
  <c r="J801" i="4"/>
  <c r="I801" i="4"/>
  <c r="H801" i="4"/>
  <c r="J800" i="4"/>
  <c r="I800" i="4"/>
  <c r="H800" i="4"/>
  <c r="J799" i="4"/>
  <c r="I799" i="4"/>
  <c r="H799" i="4"/>
  <c r="J798" i="4"/>
  <c r="I798" i="4"/>
  <c r="H798" i="4"/>
  <c r="J797" i="4"/>
  <c r="I797" i="4"/>
  <c r="H797" i="4"/>
  <c r="J796" i="4"/>
  <c r="I796" i="4"/>
  <c r="H796" i="4"/>
  <c r="J795" i="4"/>
  <c r="I795" i="4"/>
  <c r="H795" i="4"/>
  <c r="J794" i="4"/>
  <c r="I794" i="4"/>
  <c r="H794" i="4"/>
  <c r="J793" i="4"/>
  <c r="I793" i="4"/>
  <c r="H793" i="4"/>
  <c r="J792" i="4"/>
  <c r="I792" i="4"/>
  <c r="H792" i="4"/>
  <c r="J791" i="4"/>
  <c r="I791" i="4"/>
  <c r="H791" i="4"/>
  <c r="J790" i="4"/>
  <c r="I790" i="4"/>
  <c r="H790" i="4"/>
  <c r="J789" i="4"/>
  <c r="I789" i="4"/>
  <c r="H789" i="4"/>
  <c r="J788" i="4"/>
  <c r="I788" i="4"/>
  <c r="H788" i="4"/>
  <c r="J787" i="4"/>
  <c r="I787" i="4"/>
  <c r="H787" i="4"/>
  <c r="J786" i="4"/>
  <c r="I786" i="4"/>
  <c r="H786" i="4"/>
  <c r="J785" i="4"/>
  <c r="I785" i="4"/>
  <c r="H785" i="4"/>
  <c r="J784" i="4"/>
  <c r="I784" i="4"/>
  <c r="H784" i="4"/>
  <c r="J783" i="4"/>
  <c r="I783" i="4"/>
  <c r="H783" i="4"/>
  <c r="J782" i="4"/>
  <c r="I782" i="4"/>
  <c r="H782" i="4"/>
  <c r="J781" i="4"/>
  <c r="I781" i="4"/>
  <c r="H781" i="4"/>
  <c r="J780" i="4"/>
  <c r="I780" i="4"/>
  <c r="H780" i="4"/>
  <c r="J779" i="4"/>
  <c r="I779" i="4"/>
  <c r="H779" i="4"/>
  <c r="J778" i="4"/>
  <c r="I778" i="4"/>
  <c r="H778" i="4"/>
  <c r="J777" i="4"/>
  <c r="I777" i="4"/>
  <c r="H777" i="4"/>
  <c r="J776" i="4"/>
  <c r="I776" i="4"/>
  <c r="H776" i="4"/>
  <c r="J775" i="4"/>
  <c r="I775" i="4"/>
  <c r="H775" i="4"/>
  <c r="J774" i="4"/>
  <c r="I774" i="4"/>
  <c r="H774" i="4"/>
  <c r="J773" i="4"/>
  <c r="I773" i="4"/>
  <c r="H773" i="4"/>
  <c r="J772" i="4"/>
  <c r="I772" i="4"/>
  <c r="H772" i="4"/>
  <c r="J771" i="4"/>
  <c r="I771" i="4"/>
  <c r="H771" i="4"/>
  <c r="J770" i="4"/>
  <c r="I770" i="4"/>
  <c r="H770" i="4"/>
  <c r="J769" i="4"/>
  <c r="I769" i="4"/>
  <c r="H769" i="4"/>
  <c r="J768" i="4"/>
  <c r="I768" i="4"/>
  <c r="H768" i="4"/>
  <c r="J767" i="4"/>
  <c r="I767" i="4"/>
  <c r="H767" i="4"/>
  <c r="J766" i="4"/>
  <c r="I766" i="4"/>
  <c r="H766" i="4"/>
  <c r="J765" i="4"/>
  <c r="I765" i="4"/>
  <c r="H765" i="4"/>
  <c r="J764" i="4"/>
  <c r="I764" i="4"/>
  <c r="H764" i="4"/>
  <c r="J763" i="4"/>
  <c r="I763" i="4"/>
  <c r="H763" i="4"/>
  <c r="J762" i="4"/>
  <c r="I762" i="4"/>
  <c r="H762" i="4"/>
  <c r="J761" i="4"/>
  <c r="I761" i="4"/>
  <c r="H761" i="4"/>
  <c r="J760" i="4"/>
  <c r="I760" i="4"/>
  <c r="H760" i="4"/>
  <c r="J759" i="4"/>
  <c r="I759" i="4"/>
  <c r="H759" i="4"/>
  <c r="J758" i="4"/>
  <c r="I758" i="4"/>
  <c r="H758" i="4"/>
  <c r="J757" i="4"/>
  <c r="I757" i="4"/>
  <c r="H757" i="4"/>
  <c r="J756" i="4"/>
  <c r="I756" i="4"/>
  <c r="H756" i="4"/>
  <c r="J755" i="4"/>
  <c r="I755" i="4"/>
  <c r="H755" i="4"/>
  <c r="J754" i="4"/>
  <c r="I754" i="4"/>
  <c r="H754" i="4"/>
  <c r="J753" i="4"/>
  <c r="I753" i="4"/>
  <c r="H753" i="4"/>
  <c r="J752" i="4"/>
  <c r="I752" i="4"/>
  <c r="H752" i="4"/>
  <c r="J751" i="4"/>
  <c r="I751" i="4"/>
  <c r="H751" i="4"/>
  <c r="J750" i="4"/>
  <c r="I750" i="4"/>
  <c r="H750" i="4"/>
  <c r="J749" i="4"/>
  <c r="I749" i="4"/>
  <c r="H749" i="4"/>
  <c r="J748" i="4"/>
  <c r="I748" i="4"/>
  <c r="H748" i="4"/>
  <c r="J747" i="4"/>
  <c r="I747" i="4"/>
  <c r="H747" i="4"/>
  <c r="J746" i="4"/>
  <c r="I746" i="4"/>
  <c r="H746" i="4"/>
  <c r="J745" i="4"/>
  <c r="I745" i="4"/>
  <c r="H745" i="4"/>
  <c r="J744" i="4"/>
  <c r="I744" i="4"/>
  <c r="H744" i="4"/>
  <c r="J743" i="4"/>
  <c r="I743" i="4"/>
  <c r="H743" i="4"/>
  <c r="J742" i="4"/>
  <c r="I742" i="4"/>
  <c r="H742" i="4"/>
  <c r="J741" i="4"/>
  <c r="I741" i="4"/>
  <c r="H741" i="4"/>
  <c r="J740" i="4"/>
  <c r="I740" i="4"/>
  <c r="H740" i="4"/>
  <c r="J739" i="4"/>
  <c r="I739" i="4"/>
  <c r="H739" i="4"/>
  <c r="J738" i="4"/>
  <c r="I738" i="4"/>
  <c r="H738" i="4"/>
  <c r="J737" i="4"/>
  <c r="I737" i="4"/>
  <c r="H737" i="4"/>
  <c r="J736" i="4"/>
  <c r="I736" i="4"/>
  <c r="H736" i="4"/>
  <c r="J735" i="4"/>
  <c r="I735" i="4"/>
  <c r="H735" i="4"/>
  <c r="J734" i="4"/>
  <c r="I734" i="4"/>
  <c r="H734" i="4"/>
  <c r="J733" i="4"/>
  <c r="I733" i="4"/>
  <c r="H733" i="4"/>
  <c r="J732" i="4"/>
  <c r="I732" i="4"/>
  <c r="H732" i="4"/>
  <c r="J731" i="4"/>
  <c r="I731" i="4"/>
  <c r="H731" i="4"/>
  <c r="J730" i="4"/>
  <c r="I730" i="4"/>
  <c r="H730" i="4"/>
  <c r="J729" i="4"/>
  <c r="I729" i="4"/>
  <c r="H729" i="4"/>
  <c r="J728" i="4"/>
  <c r="I728" i="4"/>
  <c r="H728" i="4"/>
  <c r="J727" i="4"/>
  <c r="I727" i="4"/>
  <c r="H727" i="4"/>
  <c r="J726" i="4"/>
  <c r="I726" i="4"/>
  <c r="H726" i="4"/>
  <c r="J725" i="4"/>
  <c r="I725" i="4"/>
  <c r="H725" i="4"/>
  <c r="J724" i="4"/>
  <c r="I724" i="4"/>
  <c r="H724" i="4"/>
  <c r="J723" i="4"/>
  <c r="I723" i="4"/>
  <c r="H723" i="4"/>
  <c r="J722" i="4"/>
  <c r="I722" i="4"/>
  <c r="H722" i="4"/>
  <c r="J721" i="4"/>
  <c r="I721" i="4"/>
  <c r="H721" i="4"/>
  <c r="J720" i="4"/>
  <c r="I720" i="4"/>
  <c r="H720" i="4"/>
  <c r="J719" i="4"/>
  <c r="I719" i="4"/>
  <c r="H719" i="4"/>
  <c r="J718" i="4"/>
  <c r="I718" i="4"/>
  <c r="H718" i="4"/>
  <c r="J717" i="4"/>
  <c r="I717" i="4"/>
  <c r="H717" i="4"/>
  <c r="J716" i="4"/>
  <c r="I716" i="4"/>
  <c r="H716" i="4"/>
  <c r="J715" i="4"/>
  <c r="I715" i="4"/>
  <c r="H715" i="4"/>
  <c r="J714" i="4"/>
  <c r="I714" i="4"/>
  <c r="H714" i="4"/>
  <c r="J713" i="4"/>
  <c r="I713" i="4"/>
  <c r="H713" i="4"/>
  <c r="J712" i="4"/>
  <c r="I712" i="4"/>
  <c r="H712" i="4"/>
  <c r="J711" i="4"/>
  <c r="I711" i="4"/>
  <c r="H711" i="4"/>
  <c r="J710" i="4"/>
  <c r="I710" i="4"/>
  <c r="H710" i="4"/>
  <c r="J709" i="4"/>
  <c r="I709" i="4"/>
  <c r="H709" i="4"/>
  <c r="J708" i="4"/>
  <c r="I708" i="4"/>
  <c r="H708" i="4"/>
  <c r="J707" i="4"/>
  <c r="I707" i="4"/>
  <c r="H707" i="4"/>
  <c r="J706" i="4"/>
  <c r="I706" i="4"/>
  <c r="H706" i="4"/>
  <c r="J705" i="4"/>
  <c r="I705" i="4"/>
  <c r="H705" i="4"/>
  <c r="J704" i="4"/>
  <c r="I704" i="4"/>
  <c r="H704" i="4"/>
  <c r="J703" i="4"/>
  <c r="I703" i="4"/>
  <c r="H703" i="4"/>
  <c r="J702" i="4"/>
  <c r="I702" i="4"/>
  <c r="H702" i="4"/>
  <c r="J701" i="4"/>
  <c r="I701" i="4"/>
  <c r="H701" i="4"/>
  <c r="J700" i="4"/>
  <c r="I700" i="4"/>
  <c r="H700" i="4"/>
  <c r="J699" i="4"/>
  <c r="I699" i="4"/>
  <c r="H699" i="4"/>
  <c r="J698" i="4"/>
  <c r="I698" i="4"/>
  <c r="H698" i="4"/>
  <c r="J697" i="4"/>
  <c r="I697" i="4"/>
  <c r="H697" i="4"/>
  <c r="J696" i="4"/>
  <c r="I696" i="4"/>
  <c r="H696" i="4"/>
  <c r="J695" i="4"/>
  <c r="I695" i="4"/>
  <c r="H695" i="4"/>
  <c r="J694" i="4"/>
  <c r="I694" i="4"/>
  <c r="H694" i="4"/>
  <c r="J693" i="4"/>
  <c r="I693" i="4"/>
  <c r="H693" i="4"/>
  <c r="J692" i="4"/>
  <c r="I692" i="4"/>
  <c r="H692" i="4"/>
  <c r="J691" i="4"/>
  <c r="I691" i="4"/>
  <c r="H691" i="4"/>
  <c r="J690" i="4"/>
  <c r="I690" i="4"/>
  <c r="H690" i="4"/>
  <c r="J689" i="4"/>
  <c r="I689" i="4"/>
  <c r="H689" i="4"/>
  <c r="J688" i="4"/>
  <c r="I688" i="4"/>
  <c r="H688" i="4"/>
  <c r="J687" i="4"/>
  <c r="I687" i="4"/>
  <c r="H687" i="4"/>
  <c r="J686" i="4"/>
  <c r="I686" i="4"/>
  <c r="H686" i="4"/>
  <c r="J685" i="4"/>
  <c r="I685" i="4"/>
  <c r="H685" i="4"/>
  <c r="J684" i="4"/>
  <c r="I684" i="4"/>
  <c r="H684" i="4"/>
  <c r="J683" i="4"/>
  <c r="I683" i="4"/>
  <c r="H683" i="4"/>
  <c r="J682" i="4"/>
  <c r="I682" i="4"/>
  <c r="H682" i="4"/>
  <c r="J681" i="4"/>
  <c r="I681" i="4"/>
  <c r="H681" i="4"/>
  <c r="J680" i="4"/>
  <c r="I680" i="4"/>
  <c r="H680" i="4"/>
  <c r="J679" i="4"/>
  <c r="I679" i="4"/>
  <c r="H679" i="4"/>
  <c r="J678" i="4"/>
  <c r="I678" i="4"/>
  <c r="H678" i="4"/>
  <c r="J677" i="4"/>
  <c r="I677" i="4"/>
  <c r="H677" i="4"/>
  <c r="J676" i="4"/>
  <c r="I676" i="4"/>
  <c r="H676" i="4"/>
  <c r="J675" i="4"/>
  <c r="I675" i="4"/>
  <c r="H675" i="4"/>
  <c r="J674" i="4"/>
  <c r="I674" i="4"/>
  <c r="H674" i="4"/>
  <c r="J673" i="4"/>
  <c r="I673" i="4"/>
  <c r="H673" i="4"/>
  <c r="J672" i="4"/>
  <c r="I672" i="4"/>
  <c r="H672" i="4"/>
  <c r="J671" i="4"/>
  <c r="I671" i="4"/>
  <c r="H671" i="4"/>
  <c r="J670" i="4"/>
  <c r="I670" i="4"/>
  <c r="H670" i="4"/>
  <c r="J669" i="4"/>
  <c r="I669" i="4"/>
  <c r="H669" i="4"/>
  <c r="J668" i="4"/>
  <c r="I668" i="4"/>
  <c r="H668" i="4"/>
  <c r="J667" i="4"/>
  <c r="I667" i="4"/>
  <c r="H667" i="4"/>
  <c r="J666" i="4"/>
  <c r="I666" i="4"/>
  <c r="H666" i="4"/>
  <c r="J665" i="4"/>
  <c r="I665" i="4"/>
  <c r="H665" i="4"/>
  <c r="J664" i="4"/>
  <c r="I664" i="4"/>
  <c r="H664" i="4"/>
  <c r="J663" i="4"/>
  <c r="I663" i="4"/>
  <c r="H663" i="4"/>
  <c r="J662" i="4"/>
  <c r="I662" i="4"/>
  <c r="H662" i="4"/>
  <c r="J661" i="4"/>
  <c r="I661" i="4"/>
  <c r="H661" i="4"/>
  <c r="J660" i="4"/>
  <c r="I660" i="4"/>
  <c r="H660" i="4"/>
  <c r="J659" i="4"/>
  <c r="I659" i="4"/>
  <c r="H659" i="4"/>
  <c r="J658" i="4"/>
  <c r="I658" i="4"/>
  <c r="H658" i="4"/>
  <c r="J657" i="4"/>
  <c r="I657" i="4"/>
  <c r="H657" i="4"/>
  <c r="J656" i="4"/>
  <c r="I656" i="4"/>
  <c r="H656" i="4"/>
  <c r="J655" i="4"/>
  <c r="I655" i="4"/>
  <c r="H655" i="4"/>
  <c r="J654" i="4"/>
  <c r="I654" i="4"/>
  <c r="H654" i="4"/>
  <c r="J653" i="4"/>
  <c r="I653" i="4"/>
  <c r="H653" i="4"/>
  <c r="J652" i="4"/>
  <c r="I652" i="4"/>
  <c r="H652" i="4"/>
  <c r="J651" i="4"/>
  <c r="I651" i="4"/>
  <c r="H651" i="4"/>
  <c r="J650" i="4"/>
  <c r="I650" i="4"/>
  <c r="H650" i="4"/>
  <c r="J649" i="4"/>
  <c r="I649" i="4"/>
  <c r="H649" i="4"/>
  <c r="J648" i="4"/>
  <c r="I648" i="4"/>
  <c r="H648" i="4"/>
  <c r="J647" i="4"/>
  <c r="I647" i="4"/>
  <c r="H647" i="4"/>
  <c r="J646" i="4"/>
  <c r="I646" i="4"/>
  <c r="H646" i="4"/>
  <c r="J645" i="4"/>
  <c r="I645" i="4"/>
  <c r="H645" i="4"/>
  <c r="J644" i="4"/>
  <c r="I644" i="4"/>
  <c r="H644" i="4"/>
  <c r="J643" i="4"/>
  <c r="I643" i="4"/>
  <c r="H643" i="4"/>
  <c r="J642" i="4"/>
  <c r="I642" i="4"/>
  <c r="H642" i="4"/>
  <c r="J641" i="4"/>
  <c r="I641" i="4"/>
  <c r="H641" i="4"/>
  <c r="J640" i="4"/>
  <c r="I640" i="4"/>
  <c r="H640" i="4"/>
  <c r="J639" i="4"/>
  <c r="I639" i="4"/>
  <c r="H639" i="4"/>
  <c r="J638" i="4"/>
  <c r="I638" i="4"/>
  <c r="H638" i="4"/>
  <c r="J637" i="4"/>
  <c r="I637" i="4"/>
  <c r="H637" i="4"/>
  <c r="J636" i="4"/>
  <c r="I636" i="4"/>
  <c r="H636" i="4"/>
  <c r="J635" i="4"/>
  <c r="I635" i="4"/>
  <c r="H635" i="4"/>
  <c r="J634" i="4"/>
  <c r="I634" i="4"/>
  <c r="H634" i="4"/>
  <c r="J633" i="4"/>
  <c r="I633" i="4"/>
  <c r="H633" i="4"/>
  <c r="J632" i="4"/>
  <c r="I632" i="4"/>
  <c r="H632" i="4"/>
  <c r="J631" i="4"/>
  <c r="I631" i="4"/>
  <c r="H631" i="4"/>
  <c r="J630" i="4"/>
  <c r="I630" i="4"/>
  <c r="H630" i="4"/>
  <c r="J629" i="4"/>
  <c r="I629" i="4"/>
  <c r="H629" i="4"/>
  <c r="J628" i="4"/>
  <c r="I628" i="4"/>
  <c r="H628" i="4"/>
  <c r="J627" i="4"/>
  <c r="I627" i="4"/>
  <c r="H627" i="4"/>
  <c r="J626" i="4"/>
  <c r="I626" i="4"/>
  <c r="H626" i="4"/>
  <c r="J625" i="4"/>
  <c r="I625" i="4"/>
  <c r="H625" i="4"/>
  <c r="J624" i="4"/>
  <c r="I624" i="4"/>
  <c r="H624" i="4"/>
  <c r="J623" i="4"/>
  <c r="I623" i="4"/>
  <c r="H623" i="4"/>
  <c r="J622" i="4"/>
  <c r="I622" i="4"/>
  <c r="H622" i="4"/>
  <c r="J621" i="4"/>
  <c r="I621" i="4"/>
  <c r="H621" i="4"/>
  <c r="J620" i="4"/>
  <c r="I620" i="4"/>
  <c r="H620" i="4"/>
  <c r="J619" i="4"/>
  <c r="I619" i="4"/>
  <c r="H619" i="4"/>
  <c r="J618" i="4"/>
  <c r="I618" i="4"/>
  <c r="H618" i="4"/>
  <c r="J617" i="4"/>
  <c r="I617" i="4"/>
  <c r="H617" i="4"/>
  <c r="J616" i="4"/>
  <c r="I616" i="4"/>
  <c r="H616" i="4"/>
  <c r="B5" i="4"/>
  <c r="C5" i="4" s="1"/>
  <c r="D5" i="4" s="1"/>
  <c r="E5" i="4" s="1"/>
  <c r="L3" i="4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C5" i="3"/>
  <c r="D5" i="3" s="1"/>
  <c r="E5" i="3" s="1"/>
  <c r="F5" i="3" s="1"/>
  <c r="G5" i="3" s="1"/>
  <c r="H5" i="3" s="1"/>
</calcChain>
</file>

<file path=xl/sharedStrings.xml><?xml version="1.0" encoding="utf-8"?>
<sst xmlns="http://schemas.openxmlformats.org/spreadsheetml/2006/main" count="984" uniqueCount="410">
  <si>
    <t>测试用例ID</t>
  </si>
  <si>
    <t>用例场景</t>
  </si>
  <si>
    <t>对应系统接口</t>
  </si>
  <si>
    <t>测试数据设计</t>
  </si>
  <si>
    <t>序号</t>
  </si>
  <si>
    <t>测试用例场景</t>
  </si>
  <si>
    <t>冒烟用例</t>
  </si>
  <si>
    <t>参数必填项</t>
  </si>
  <si>
    <t>业务数据错误</t>
  </si>
  <si>
    <t>数据格式错误</t>
  </si>
  <si>
    <t>接口-A</t>
  </si>
  <si>
    <t>针对接口-A冒烟测试</t>
  </si>
  <si>
    <t>测试用例名称
（手动录入）</t>
  </si>
  <si>
    <t>【测试数据场景说明】</t>
  </si>
  <si>
    <t>接口-B</t>
  </si>
  <si>
    <t>接口-C</t>
  </si>
  <si>
    <t>接口-D</t>
  </si>
  <si>
    <t>TC-SM_001</t>
  </si>
  <si>
    <t>TC-SM_002</t>
  </si>
  <si>
    <t>TC-SM_003</t>
  </si>
  <si>
    <t>TC-SM_004</t>
  </si>
  <si>
    <t>接口ID</t>
  </si>
  <si>
    <t>接口名称</t>
  </si>
  <si>
    <t>相对路径（URL）</t>
  </si>
  <si>
    <t>请求方式</t>
  </si>
  <si>
    <t>参数名称</t>
  </si>
  <si>
    <t>数据类型</t>
  </si>
  <si>
    <t>数据业务说明</t>
  </si>
  <si>
    <t>mumNum</t>
  </si>
  <si>
    <t>mumName</t>
  </si>
  <si>
    <t>mumURL</t>
  </si>
  <si>
    <t>mumMethodType</t>
  </si>
  <si>
    <t>mumParam</t>
  </si>
  <si>
    <t>mumParamType</t>
  </si>
  <si>
    <t>dataDescribe</t>
  </si>
  <si>
    <t>POST</t>
  </si>
  <si>
    <t>maProvide</t>
  </si>
  <si>
    <t>String</t>
  </si>
  <si>
    <t>城市</t>
  </si>
  <si>
    <t>maName</t>
  </si>
  <si>
    <t>物业项目名称</t>
  </si>
  <si>
    <t>begin</t>
  </si>
  <si>
    <t xml:space="preserve">int </t>
  </si>
  <si>
    <t>分页查询开始记录位置</t>
  </si>
  <si>
    <t>length</t>
  </si>
  <si>
    <t>int</t>
  </si>
  <si>
    <t>每页显示记录数</t>
  </si>
  <si>
    <t>token</t>
  </si>
  <si>
    <t>登录认证信息</t>
  </si>
  <si>
    <t>location</t>
  </si>
  <si>
    <t>当前位置</t>
  </si>
  <si>
    <t>Integer</t>
  </si>
  <si>
    <t>项目名称：</t>
  </si>
  <si>
    <t>skylot微信公众号接口测试</t>
  </si>
  <si>
    <t>用例ID</t>
  </si>
  <si>
    <t>用例名称</t>
  </si>
  <si>
    <t>tcNum</t>
  </si>
  <si>
    <t>tcName</t>
  </si>
  <si>
    <t>TCB_036</t>
  </si>
  <si>
    <t>更新用户状态</t>
  </si>
  <si>
    <t>BSMG_036</t>
  </si>
  <si>
    <t>TCB_001</t>
  </si>
  <si>
    <t>新增基本设备类型</t>
  </si>
  <si>
    <t>BSMG_001</t>
  </si>
  <si>
    <t>基本设备类型-新增基本设备类型</t>
  </si>
  <si>
    <t>/mathineAdd/add</t>
  </si>
  <si>
    <t>状态</t>
  </si>
  <si>
    <t>/customerUpdate/update</t>
  </si>
  <si>
    <t>用户序号</t>
  </si>
  <si>
    <t>测试数据场景设计</t>
  </si>
  <si>
    <t>用例类型</t>
  </si>
  <si>
    <t>请求
方式</t>
  </si>
  <si>
    <t>参数
名称</t>
  </si>
  <si>
    <t>数据
类型</t>
  </si>
  <si>
    <t>第一组</t>
  </si>
  <si>
    <t>第二组</t>
  </si>
  <si>
    <t>第三组</t>
  </si>
  <si>
    <t>第四组</t>
  </si>
  <si>
    <t>第五组</t>
  </si>
  <si>
    <t>第六组</t>
  </si>
  <si>
    <t>第七组</t>
  </si>
  <si>
    <t>第八组</t>
  </si>
  <si>
    <t>第九组</t>
  </si>
  <si>
    <t>第十组</t>
  </si>
  <si>
    <t>第十一组</t>
  </si>
  <si>
    <t>第十二组</t>
  </si>
  <si>
    <t>第十三组</t>
  </si>
  <si>
    <t>第十四组</t>
  </si>
  <si>
    <t>第十五组</t>
  </si>
  <si>
    <t>第十六组</t>
  </si>
  <si>
    <t>第十七组</t>
  </si>
  <si>
    <t>第十八组</t>
  </si>
  <si>
    <t>第十九组</t>
  </si>
  <si>
    <t>第二十组</t>
  </si>
  <si>
    <t>第二十一组</t>
  </si>
  <si>
    <t>第二十二组</t>
  </si>
  <si>
    <t>第二十三组</t>
  </si>
  <si>
    <t>第二十四组</t>
  </si>
  <si>
    <t>第二十五组</t>
  </si>
  <si>
    <t>第二十六组</t>
  </si>
  <si>
    <t>第二十七组</t>
  </si>
  <si>
    <t>第二十八组</t>
  </si>
  <si>
    <t>第二十九组</t>
  </si>
  <si>
    <t>第三十组</t>
  </si>
  <si>
    <t>第三十一组</t>
  </si>
  <si>
    <t>第三十二组</t>
  </si>
  <si>
    <t>第三十三组</t>
  </si>
  <si>
    <t>第三十四组</t>
  </si>
  <si>
    <t>第三十五组</t>
  </si>
  <si>
    <t>第三十六组</t>
  </si>
  <si>
    <t>第三十七组</t>
  </si>
  <si>
    <t>第三十八组</t>
  </si>
  <si>
    <t>第三十九组</t>
  </si>
  <si>
    <t>第四十组</t>
  </si>
  <si>
    <t>第四十一组</t>
  </si>
  <si>
    <t>第四十二组</t>
  </si>
  <si>
    <t>第四十三组</t>
  </si>
  <si>
    <t>第四十四组</t>
  </si>
  <si>
    <t>第四十五组</t>
  </si>
  <si>
    <t>第四十六组</t>
  </si>
  <si>
    <t>第四十七组</t>
  </si>
  <si>
    <t>第四十八组</t>
  </si>
  <si>
    <t>第四十九组</t>
  </si>
  <si>
    <t>第五十组</t>
  </si>
  <si>
    <t>第五十一组</t>
  </si>
  <si>
    <t>第五十二组</t>
  </si>
  <si>
    <t>第五十三组</t>
  </si>
  <si>
    <t>第五十四组</t>
  </si>
  <si>
    <t>第五十五组</t>
  </si>
  <si>
    <t>第五十六组</t>
  </si>
  <si>
    <t>第五十七组</t>
  </si>
  <si>
    <t>第五十八组</t>
  </si>
  <si>
    <t>第五十九组</t>
  </si>
  <si>
    <t>第六十组</t>
  </si>
  <si>
    <t>第六十一组</t>
  </si>
  <si>
    <t>第六十二组</t>
  </si>
  <si>
    <t>第六十三组</t>
  </si>
  <si>
    <t>第六十四组</t>
  </si>
  <si>
    <t>第六十五组</t>
  </si>
  <si>
    <t>第六十六组</t>
  </si>
  <si>
    <t>第六十七组</t>
  </si>
  <si>
    <t>第六十八组</t>
  </si>
  <si>
    <t>第六十九组</t>
  </si>
  <si>
    <t>第七十组</t>
  </si>
  <si>
    <t>第七十一组</t>
  </si>
  <si>
    <t>第七十二组</t>
  </si>
  <si>
    <t>第七十三组</t>
  </si>
  <si>
    <t>第七十四组</t>
  </si>
  <si>
    <t>第七十五组</t>
  </si>
  <si>
    <t>第七十六组</t>
  </si>
  <si>
    <t>第七十七组</t>
  </si>
  <si>
    <t>第七十八组</t>
  </si>
  <si>
    <t>第七十九组</t>
  </si>
  <si>
    <t>第八十组</t>
  </si>
  <si>
    <t>第八十一组</t>
  </si>
  <si>
    <t>第八十二组</t>
  </si>
  <si>
    <t>数据</t>
  </si>
  <si>
    <t>录入数据</t>
  </si>
  <si>
    <t>返回值验证</t>
  </si>
  <si>
    <t>mcID</t>
  </si>
  <si>
    <t>Status</t>
  </si>
  <si>
    <t>普通用户管理-
更新用户状态</t>
  </si>
  <si>
    <t>SQL 验证</t>
  </si>
  <si>
    <t>SQL 返回数据集</t>
  </si>
  <si>
    <t>参数</t>
  </si>
  <si>
    <t>赋值公式</t>
  </si>
  <si>
    <t>测试数据编号</t>
  </si>
  <si>
    <t>TC_036_GZH_036_001&gt;&gt;null#停用</t>
  </si>
  <si>
    <t>用例依赖</t>
  </si>
  <si>
    <t>fangda_skylot_test_06</t>
  </si>
  <si>
    <t>测试数据库名称</t>
  </si>
  <si>
    <t>数据库名称</t>
  </si>
  <si>
    <t>fangda_skylot_test_02</t>
  </si>
  <si>
    <t>{
  resultType:true,
  data:{},
  error:[]
}</t>
  </si>
  <si>
    <t>场景测试</t>
  </si>
  <si>
    <t>场景测试数据补充</t>
  </si>
  <si>
    <t>GZH_001</t>
  </si>
  <si>
    <t>购买车位-查询物业项目</t>
  </si>
  <si>
    <t>/weChat/getActionArea/getList/token</t>
  </si>
  <si>
    <t>GZH_002</t>
  </si>
  <si>
    <t>购买车位-查询物业项目设备</t>
  </si>
  <si>
    <t>/weChat/getIftbMachineAction/getList/token</t>
  </si>
  <si>
    <t>maId</t>
  </si>
  <si>
    <t>物业项目设备序号</t>
  </si>
  <si>
    <t>GZH_003</t>
  </si>
  <si>
    <t>购买车位-购买月租车位</t>
  </si>
  <si>
    <t>/weChat/createOrder/add/token</t>
  </si>
  <si>
    <t>imaId</t>
  </si>
  <si>
    <t>物业设备序号</t>
  </si>
  <si>
    <t>iicStartdate</t>
  </si>
  <si>
    <t>购买开始时间</t>
  </si>
  <si>
    <t>iicEnddate</t>
  </si>
  <si>
    <t xml:space="preserve">String </t>
  </si>
  <si>
    <t>购买结束时间</t>
  </si>
  <si>
    <t>buyingTime</t>
  </si>
  <si>
    <t>购买停车时间</t>
  </si>
  <si>
    <t>isPaidBefore</t>
  </si>
  <si>
    <t>是否已支付物业停车费 0否 1是</t>
  </si>
  <si>
    <t>unitPrice</t>
  </si>
  <si>
    <t>单价</t>
  </si>
  <si>
    <t>originalPrice</t>
  </si>
  <si>
    <t>原价</t>
  </si>
  <si>
    <t>discountPrice</t>
  </si>
  <si>
    <t>优惠金额</t>
  </si>
  <si>
    <t>actualPaid</t>
  </si>
  <si>
    <t>实付金额       （保留2位小数)</t>
  </si>
  <si>
    <t>iccCarCode</t>
  </si>
  <si>
    <t>绑定车牌号</t>
  </si>
  <si>
    <t>buyingStatus</t>
  </si>
  <si>
    <t>购买状态 0购买 1预订</t>
  </si>
  <si>
    <t>GZH_004</t>
  </si>
  <si>
    <t>订单管理-取消订单</t>
  </si>
  <si>
    <t>/weChat/updateOrder/update/token</t>
  </si>
  <si>
    <t>tcplId</t>
  </si>
  <si>
    <t xml:space="preserve">Integer </t>
  </si>
  <si>
    <t>订单序号</t>
  </si>
  <si>
    <t>tcplStatus</t>
  </si>
  <si>
    <t>要更新的状态 订单状态 0终止 1待支付 2已确认 3待返还物业停车费</t>
  </si>
  <si>
    <t>GZH_005</t>
  </si>
  <si>
    <t>订单管理-查询订单详细信息</t>
  </si>
  <si>
    <t>/weChat/getOneOrder/getOne/token</t>
  </si>
  <si>
    <t>GZH_006</t>
  </si>
  <si>
    <t>订单管理-查询订单列表</t>
  </si>
  <si>
    <t>/weChat/getOrder/getList/token</t>
  </si>
  <si>
    <t>tcplParkingStatus</t>
  </si>
  <si>
    <t>停车状态 0临时停车 1月租停车</t>
  </si>
  <si>
    <t>订单状态 0终止 1待支付 2已确认 3待返还物业停车费</t>
  </si>
  <si>
    <t>分页查询开始记录位置.(没有此参数则不分页)(begin&gt;0) 最大值2000000000</t>
  </si>
  <si>
    <t>每页显示记录数.(默认10, 0&lt;length&lt;=100)</t>
  </si>
  <si>
    <t>GZH_007</t>
  </si>
  <si>
    <t>订单管理-申请退费</t>
  </si>
  <si>
    <t>/weChat/orderPaidBack/update/token</t>
  </si>
  <si>
    <t>paidBackTime</t>
  </si>
  <si>
    <t>退费时长</t>
  </si>
  <si>
    <t>paidBackRemark</t>
  </si>
  <si>
    <t>退费原因</t>
  </si>
  <si>
    <t>paidBackUnitPrice</t>
  </si>
  <si>
    <t>paidBackOriginalPrice</t>
  </si>
  <si>
    <t>paidDiscountPrice</t>
  </si>
  <si>
    <t>paidBackPrice</t>
  </si>
  <si>
    <t>退费金额</t>
  </si>
  <si>
    <t>iicEndTime</t>
  </si>
  <si>
    <t>退费后购买结束日期</t>
  </si>
  <si>
    <t>GZH_008</t>
  </si>
  <si>
    <t>订单管理-申请返还物业停车费</t>
  </si>
  <si>
    <t>/weChat/orderActionAreaBack/update/token</t>
  </si>
  <si>
    <t>hpdCarCode</t>
  </si>
  <si>
    <t>GZH_009</t>
  </si>
  <si>
    <t>停车管理-获取用户车位信息</t>
  </si>
  <si>
    <t>/weChat/getCustomerItem/getList/token</t>
  </si>
  <si>
    <t>type</t>
  </si>
  <si>
    <t>0获取临停信息，1获取月租信息，2全部</t>
  </si>
  <si>
    <t>GZH_010</t>
  </si>
  <si>
    <t>订单管理-临时停车生成支付订单</t>
  </si>
  <si>
    <t>/weChat/createTempParkOrder/add/token</t>
  </si>
  <si>
    <t>tcplCarCode</t>
  </si>
  <si>
    <t>车牌号</t>
  </si>
  <si>
    <t>tcplCost</t>
  </si>
  <si>
    <t>实付金额</t>
  </si>
  <si>
    <t>GZH_011</t>
  </si>
  <si>
    <t>停车管理-预约取车时间</t>
  </si>
  <si>
    <t>/weChat/orderTakeCarTime/update/token</t>
  </si>
  <si>
    <t>orderTime</t>
  </si>
  <si>
    <t>预约时间</t>
  </si>
  <si>
    <t>设备序号</t>
  </si>
  <si>
    <t>tmplPhysicalCode</t>
  </si>
  <si>
    <t>车位号</t>
  </si>
  <si>
    <t>GZH_012</t>
  </si>
  <si>
    <t>购买车位-月租续费</t>
  </si>
  <si>
    <t>/weChat/renewCreateOrder/add/token</t>
  </si>
  <si>
    <t>omiId</t>
  </si>
  <si>
    <t>车位序号</t>
  </si>
  <si>
    <t>iicId</t>
  </si>
  <si>
    <t>虚拟车位订单Id</t>
  </si>
  <si>
    <t>GZH_013</t>
  </si>
  <si>
    <t>停车管理-变更绑定车牌</t>
  </si>
  <si>
    <t>/weChat/changeBindCarCode/update/token</t>
  </si>
  <si>
    <t>虚拟车位序号</t>
  </si>
  <si>
    <t>变更的车牌</t>
  </si>
  <si>
    <t>GZH_014</t>
  </si>
  <si>
    <t>停车管理-停车记录</t>
  </si>
  <si>
    <t>/weChat/userParking/getList/token</t>
  </si>
  <si>
    <t>GZH_017</t>
  </si>
  <si>
    <t>用户管理-变更绑定手机号</t>
  </si>
  <si>
    <t>/weChat/changeMobile/update/token</t>
  </si>
  <si>
    <t>mcMobile</t>
  </si>
  <si>
    <t>新绑定的手机号</t>
  </si>
  <si>
    <t>mpvVerifycode</t>
  </si>
  <si>
    <t>验证码</t>
  </si>
  <si>
    <t>GZH_018</t>
  </si>
  <si>
    <t>用户管理-检查手机号是否已绑定其他账号</t>
  </si>
  <si>
    <t>/weChat/checkMobile/check/token</t>
  </si>
  <si>
    <t>手机号</t>
  </si>
  <si>
    <t>GZH_019</t>
  </si>
  <si>
    <t>用户管理-发送验证码</t>
  </si>
  <si>
    <t>/weChat/verifycode/add/login</t>
  </si>
  <si>
    <t>mpvMobile</t>
  </si>
  <si>
    <t>GZH_020</t>
  </si>
  <si>
    <t>用户管理-查询用户绑定车牌</t>
  </si>
  <si>
    <t>/weChat/customerCar/getList/token</t>
  </si>
  <si>
    <t>GZH_021</t>
  </si>
  <si>
    <t>用户管理-新增用户绑定车牌</t>
  </si>
  <si>
    <t>/weChat/addCustomerCar/add/token</t>
  </si>
  <si>
    <t>occCode</t>
  </si>
  <si>
    <t>车牌</t>
  </si>
  <si>
    <t>GZH_022</t>
  </si>
  <si>
    <t>用户管理-查询开票历史</t>
  </si>
  <si>
    <t>/weChat/invoiceHistory/getList/token</t>
  </si>
  <si>
    <t>GZH_023</t>
  </si>
  <si>
    <t>用户管理-开发票</t>
  </si>
  <si>
    <t>/weChat/applyInvoice/add/token</t>
  </si>
  <si>
    <t>oiiType</t>
  </si>
  <si>
    <t>发票类型       （必填）0电子发票  1纸质发票</t>
  </si>
  <si>
    <t>oiiInvoiceType</t>
  </si>
  <si>
    <t>抬头类型       （必填）0公司抬头  1个头抬头</t>
  </si>
  <si>
    <t>oiiInvoiceTitle</t>
  </si>
  <si>
    <t>发票抬头       （必填）</t>
  </si>
  <si>
    <t>oiiTaxpaperNum</t>
  </si>
  <si>
    <t>纳税人识别号   （15、18、20位数字或大写字母）（必填）</t>
  </si>
  <si>
    <t>oiiInvoiceContent</t>
  </si>
  <si>
    <t>发票内容       （必填）</t>
  </si>
  <si>
    <t>oiiInvoiceAmount</t>
  </si>
  <si>
    <t>发票金额       （必填）</t>
  </si>
  <si>
    <t>oiiRemark</t>
  </si>
  <si>
    <t>备注说明</t>
  </si>
  <si>
    <t>oiiAddressMobile</t>
  </si>
  <si>
    <t>电话地址       （纸质发票必填）</t>
  </si>
  <si>
    <t>oiiBankCard</t>
  </si>
  <si>
    <t>开户行及银行账号</t>
  </si>
  <si>
    <t>oiiEmail</t>
  </si>
  <si>
    <t>电子邮箱       (电子发票必填)</t>
  </si>
  <si>
    <t>oiiReceiver</t>
  </si>
  <si>
    <t>收件人        （纸质发票必填）</t>
  </si>
  <si>
    <t>oiiAddress</t>
  </si>
  <si>
    <t>地址          （纸质发票必填）</t>
  </si>
  <si>
    <t>oiiMobile</t>
  </si>
  <si>
    <t>电话          （纸质发票必填）</t>
  </si>
  <si>
    <t>oiiProvide</t>
  </si>
  <si>
    <t>所在地区省市区</t>
  </si>
  <si>
    <t>tcpIId</t>
  </si>
  <si>
    <t>订单ID</t>
  </si>
  <si>
    <t>GZH_025</t>
  </si>
  <si>
    <t>用户登录-验证手机号是否为已注册手机号</t>
  </si>
  <si>
    <t>/weChat/checkLoginMobile/check/login</t>
  </si>
  <si>
    <t>微信</t>
  </si>
  <si>
    <t>工控机</t>
  </si>
  <si>
    <t>出入口系统</t>
  </si>
  <si>
    <t>工控机+管理平台</t>
  </si>
  <si>
    <t>管理平台</t>
  </si>
  <si>
    <t>微信+管理平台</t>
  </si>
  <si>
    <t>业务系统</t>
  </si>
  <si>
    <t>微信+出入口系统+管理平台</t>
  </si>
  <si>
    <t>系统接口分类说明</t>
  </si>
  <si>
    <t>MES_DB</t>
  </si>
  <si>
    <t>PMS_DB</t>
  </si>
  <si>
    <t>Y</t>
  </si>
  <si>
    <t>GZH_ABC</t>
  </si>
  <si>
    <t>测试用</t>
  </si>
  <si>
    <t>操作类型</t>
  </si>
  <si>
    <t>基础接口</t>
  </si>
  <si>
    <t>微信+工控机</t>
  </si>
  <si>
    <t>微信+工控机+管理管理</t>
  </si>
  <si>
    <t>Saas接口地址前缀</t>
  </si>
  <si>
    <t>http://10.8.0.195:9595/Skylot06</t>
  </si>
  <si>
    <t>自动化测试参数配置</t>
  </si>
  <si>
    <t>项目名称</t>
  </si>
  <si>
    <t>Skylot Saas接口测试</t>
  </si>
  <si>
    <t>测试场景名称</t>
  </si>
  <si>
    <t>自动化测试-2017</t>
  </si>
  <si>
    <t>对应代码版本</t>
  </si>
  <si>
    <t>0.0.0.1</t>
  </si>
  <si>
    <t>测试场景说明（小于200汉字）</t>
  </si>
  <si>
    <t>自动化测试-2017说明</t>
  </si>
  <si>
    <t>测试场景类型</t>
  </si>
  <si>
    <t>测试用例场景类型</t>
  </si>
  <si>
    <t>冒烟测试</t>
  </si>
  <si>
    <t>全功能测试</t>
  </si>
  <si>
    <t>子系统功能测试</t>
  </si>
  <si>
    <t>自定义测试</t>
  </si>
  <si>
    <t>测试场景对应子系统</t>
  </si>
  <si>
    <t>基础接口冒烟测试</t>
  </si>
  <si>
    <t>系统接口冒烟测试</t>
  </si>
  <si>
    <t>接口执行验证Json节点名称：</t>
  </si>
  <si>
    <t>resultType, data, error</t>
  </si>
  <si>
    <t>TC_001</t>
  </si>
  <si>
    <t>Case1</t>
  </si>
  <si>
    <t>场景参数设置</t>
  </si>
  <si>
    <t>免费停车时长（分钟）</t>
  </si>
  <si>
    <t>参数说明</t>
  </si>
  <si>
    <t>参数值</t>
  </si>
  <si>
    <t>参数类型</t>
  </si>
  <si>
    <t>[*Now_Time-D5]-[*FreeParkTime]</t>
  </si>
  <si>
    <t>[LT_StartTime]</t>
  </si>
  <si>
    <t>DateTime</t>
  </si>
  <si>
    <t>[YZ_StartTime]</t>
  </si>
  <si>
    <t>临停开始时间</t>
  </si>
  <si>
    <t>月租开始时间</t>
  </si>
  <si>
    <t>[LT_StartTime_封顶]</t>
  </si>
  <si>
    <t>[*LT_StartTime+H1]</t>
  </si>
  <si>
    <t>TC_002</t>
  </si>
  <si>
    <t>测试用-2</t>
  </si>
  <si>
    <t>stopTime</t>
    <phoneticPr fontId="10" type="noConversion"/>
  </si>
  <si>
    <t>dependency</t>
    <phoneticPr fontId="10" type="noConversion"/>
  </si>
  <si>
    <t>接口执行成功返回数据</t>
    <phoneticPr fontId="10" type="noConversion"/>
  </si>
  <si>
    <t>[FreeParkTime]</t>
    <phoneticPr fontId="10" type="noConversion"/>
  </si>
  <si>
    <t>Case2</t>
  </si>
  <si>
    <t>Case3</t>
  </si>
  <si>
    <t>Case4</t>
  </si>
  <si>
    <t>Case5</t>
  </si>
  <si>
    <t>执行延迟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</si>
</sst>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\ h:mm:ss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微软雅黑"/>
      <family val="2"/>
      <charset val="134"/>
    </font>
    <font>
      <sz val="11"/>
      <color theme="1"/>
      <name val="微软雅黑 Light"/>
      <family val="2"/>
      <charset val="134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微软雅黑"/>
      <family val="2"/>
      <charset val="134"/>
    </font>
    <font>
      <b/>
      <sz val="22"/>
      <color theme="1"/>
      <name val="微软雅黑"/>
      <family val="2"/>
      <charset val="134"/>
    </font>
    <font>
      <u/>
      <sz val="11"/>
      <color theme="10"/>
      <name val="Calibri"/>
      <family val="2"/>
      <scheme val="minor"/>
    </font>
    <font>
      <sz val="18"/>
      <color theme="1"/>
      <name val="微软雅黑"/>
      <family val="2"/>
      <charset val="134"/>
    </font>
    <font>
      <sz val="9"/>
      <name val="Calibri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Font="1" applyBorder="1"/>
    <xf numFmtId="0" fontId="0" fillId="2" borderId="1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4" fillId="5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1" xfId="0" applyBorder="1"/>
    <xf numFmtId="0" fontId="1" fillId="6" borderId="1" xfId="0" applyFont="1" applyFill="1" applyBorder="1"/>
    <xf numFmtId="0" fontId="0" fillId="2" borderId="3" xfId="0" applyFill="1" applyBorder="1"/>
    <xf numFmtId="0" fontId="1" fillId="6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8" fillId="0" borderId="1" xfId="1" applyBorder="1"/>
    <xf numFmtId="0" fontId="1" fillId="6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/>
    <xf numFmtId="0" fontId="2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5" xfId="0" applyFill="1" applyBorder="1" applyAlignment="1">
      <alignment horizontal="right" vertical="center"/>
    </xf>
    <xf numFmtId="0" fontId="0" fillId="6" borderId="6" xfId="0" applyFill="1" applyBorder="1" applyAlignment="1">
      <alignment horizontal="right" vertical="center"/>
    </xf>
    <xf numFmtId="0" fontId="0" fillId="6" borderId="7" xfId="0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right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57150</xdr:rowOff>
        </xdr:from>
        <xdr:to>
          <xdr:col>3</xdr:col>
          <xdr:colOff>1562100</xdr:colOff>
          <xdr:row>1</xdr:row>
          <xdr:rowOff>123825</xdr:rowOff>
        </xdr:to>
        <xdr:sp macro="" textlink="">
          <xdr:nvSpPr>
            <xdr:cNvPr id="8193" name="cmdDebug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0</xdr:row>
          <xdr:rowOff>57150</xdr:rowOff>
        </xdr:from>
        <xdr:to>
          <xdr:col>7</xdr:col>
          <xdr:colOff>695325</xdr:colOff>
          <xdr:row>2</xdr:row>
          <xdr:rowOff>9525</xdr:rowOff>
        </xdr:to>
        <xdr:sp macro="" textlink="">
          <xdr:nvSpPr>
            <xdr:cNvPr id="14338" name="cmd_InterfaceTypeValidation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76200</xdr:rowOff>
        </xdr:from>
        <xdr:to>
          <xdr:col>12</xdr:col>
          <xdr:colOff>28575</xdr:colOff>
          <xdr:row>0</xdr:row>
          <xdr:rowOff>438150</xdr:rowOff>
        </xdr:to>
        <xdr:sp macro="" textlink="">
          <xdr:nvSpPr>
            <xdr:cNvPr id="5121" name="cmd_GenerateTC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10.8.0.195:9595/Skylot06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AH40"/>
  <sheetViews>
    <sheetView workbookViewId="0">
      <selection activeCell="I29" sqref="I29"/>
    </sheetView>
  </sheetViews>
  <sheetFormatPr defaultRowHeight="15"/>
  <cols>
    <col min="1" max="1" width="2.140625" customWidth="1"/>
    <col min="2" max="2" width="7.7109375" style="1" customWidth="1"/>
    <col min="3" max="3" width="16.28515625" customWidth="1"/>
    <col min="4" max="4" width="13" customWidth="1"/>
    <col min="5" max="5" width="20.42578125" bestFit="1" customWidth="1"/>
    <col min="6" max="6" width="15.42578125" customWidth="1"/>
    <col min="7" max="7" width="26.5703125" customWidth="1"/>
    <col min="8" max="8" width="17.85546875" customWidth="1"/>
    <col min="9" max="9" width="20.5703125" customWidth="1"/>
  </cols>
  <sheetData>
    <row r="3" spans="2:34">
      <c r="B3" s="57" t="s">
        <v>4</v>
      </c>
      <c r="C3" s="57" t="s">
        <v>2</v>
      </c>
      <c r="D3" s="57" t="s">
        <v>0</v>
      </c>
      <c r="E3" s="58" t="s">
        <v>12</v>
      </c>
      <c r="F3" s="57" t="s">
        <v>1</v>
      </c>
      <c r="G3" s="57" t="s">
        <v>3</v>
      </c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2:34">
      <c r="B4" s="57"/>
      <c r="C4" s="57"/>
      <c r="D4" s="57"/>
      <c r="E4" s="57"/>
      <c r="F4" s="57"/>
      <c r="G4" s="1">
        <v>1</v>
      </c>
      <c r="H4" s="1">
        <f>G4+1</f>
        <v>2</v>
      </c>
      <c r="I4" s="1">
        <f t="shared" ref="I4:U4" si="0">H4+1</f>
        <v>3</v>
      </c>
      <c r="J4" s="1">
        <f t="shared" si="0"/>
        <v>4</v>
      </c>
      <c r="K4" s="1">
        <f t="shared" si="0"/>
        <v>5</v>
      </c>
      <c r="L4" s="1">
        <f t="shared" si="0"/>
        <v>6</v>
      </c>
      <c r="M4" s="1">
        <f t="shared" si="0"/>
        <v>7</v>
      </c>
      <c r="N4" s="1">
        <f t="shared" si="0"/>
        <v>8</v>
      </c>
      <c r="O4" s="1">
        <f t="shared" si="0"/>
        <v>9</v>
      </c>
      <c r="P4" s="1">
        <f t="shared" si="0"/>
        <v>10</v>
      </c>
      <c r="Q4" s="1">
        <f t="shared" si="0"/>
        <v>11</v>
      </c>
      <c r="R4" s="1">
        <f t="shared" si="0"/>
        <v>12</v>
      </c>
      <c r="S4" s="1">
        <f t="shared" si="0"/>
        <v>13</v>
      </c>
      <c r="T4" s="1">
        <f t="shared" si="0"/>
        <v>14</v>
      </c>
      <c r="U4" s="1">
        <f t="shared" si="0"/>
        <v>15</v>
      </c>
    </row>
    <row r="5" spans="2:34">
      <c r="B5" s="1">
        <v>1</v>
      </c>
      <c r="C5" t="s">
        <v>10</v>
      </c>
      <c r="D5" t="s">
        <v>17</v>
      </c>
      <c r="E5" t="s">
        <v>11</v>
      </c>
      <c r="F5" t="s">
        <v>6</v>
      </c>
      <c r="G5" s="5" t="s">
        <v>13</v>
      </c>
    </row>
    <row r="6" spans="2:34">
      <c r="B6" s="1">
        <f>B5+1</f>
        <v>2</v>
      </c>
      <c r="C6" t="s">
        <v>14</v>
      </c>
      <c r="D6" t="s">
        <v>18</v>
      </c>
      <c r="F6" t="s">
        <v>6</v>
      </c>
    </row>
    <row r="7" spans="2:34">
      <c r="B7" s="1">
        <f t="shared" ref="B7:B40" si="1">B6+1</f>
        <v>3</v>
      </c>
      <c r="C7" t="s">
        <v>15</v>
      </c>
      <c r="D7" t="s">
        <v>19</v>
      </c>
      <c r="F7" t="s">
        <v>6</v>
      </c>
    </row>
    <row r="8" spans="2:34">
      <c r="B8" s="1">
        <f t="shared" si="1"/>
        <v>4</v>
      </c>
      <c r="C8" t="s">
        <v>16</v>
      </c>
      <c r="D8" t="s">
        <v>20</v>
      </c>
      <c r="F8" t="s">
        <v>6</v>
      </c>
    </row>
    <row r="9" spans="2:34">
      <c r="B9" s="1">
        <f t="shared" si="1"/>
        <v>5</v>
      </c>
    </row>
    <row r="10" spans="2:34">
      <c r="B10" s="1">
        <f t="shared" si="1"/>
        <v>6</v>
      </c>
    </row>
    <row r="11" spans="2:34">
      <c r="B11" s="1">
        <f t="shared" si="1"/>
        <v>7</v>
      </c>
    </row>
    <row r="12" spans="2:34">
      <c r="B12" s="1">
        <f t="shared" si="1"/>
        <v>8</v>
      </c>
    </row>
    <row r="13" spans="2:34">
      <c r="B13" s="1">
        <f t="shared" si="1"/>
        <v>9</v>
      </c>
    </row>
    <row r="14" spans="2:34">
      <c r="B14" s="1">
        <f t="shared" si="1"/>
        <v>10</v>
      </c>
    </row>
    <row r="15" spans="2:34">
      <c r="B15" s="1">
        <f t="shared" si="1"/>
        <v>11</v>
      </c>
    </row>
    <row r="16" spans="2:34">
      <c r="B16" s="1">
        <f t="shared" si="1"/>
        <v>12</v>
      </c>
    </row>
    <row r="17" spans="2:2">
      <c r="B17" s="1">
        <f t="shared" si="1"/>
        <v>13</v>
      </c>
    </row>
    <row r="18" spans="2:2">
      <c r="B18" s="1">
        <f t="shared" si="1"/>
        <v>14</v>
      </c>
    </row>
    <row r="19" spans="2:2">
      <c r="B19" s="1">
        <f t="shared" si="1"/>
        <v>15</v>
      </c>
    </row>
    <row r="20" spans="2:2">
      <c r="B20" s="1">
        <f t="shared" si="1"/>
        <v>16</v>
      </c>
    </row>
    <row r="21" spans="2:2">
      <c r="B21" s="1">
        <f t="shared" si="1"/>
        <v>17</v>
      </c>
    </row>
    <row r="22" spans="2:2">
      <c r="B22" s="1">
        <f t="shared" si="1"/>
        <v>18</v>
      </c>
    </row>
    <row r="23" spans="2:2">
      <c r="B23" s="1">
        <f t="shared" si="1"/>
        <v>19</v>
      </c>
    </row>
    <row r="24" spans="2:2">
      <c r="B24" s="1">
        <f t="shared" si="1"/>
        <v>20</v>
      </c>
    </row>
    <row r="25" spans="2:2">
      <c r="B25" s="1">
        <f t="shared" si="1"/>
        <v>21</v>
      </c>
    </row>
    <row r="26" spans="2:2">
      <c r="B26" s="1">
        <f t="shared" si="1"/>
        <v>22</v>
      </c>
    </row>
    <row r="27" spans="2:2">
      <c r="B27" s="1">
        <f t="shared" si="1"/>
        <v>23</v>
      </c>
    </row>
    <row r="28" spans="2:2">
      <c r="B28" s="1">
        <f t="shared" si="1"/>
        <v>24</v>
      </c>
    </row>
    <row r="29" spans="2:2">
      <c r="B29" s="1">
        <f t="shared" si="1"/>
        <v>25</v>
      </c>
    </row>
    <row r="30" spans="2:2">
      <c r="B30" s="1">
        <f t="shared" si="1"/>
        <v>26</v>
      </c>
    </row>
    <row r="31" spans="2:2">
      <c r="B31" s="1">
        <f t="shared" si="1"/>
        <v>27</v>
      </c>
    </row>
    <row r="32" spans="2:2">
      <c r="B32" s="1">
        <f t="shared" si="1"/>
        <v>28</v>
      </c>
    </row>
    <row r="33" spans="2:2">
      <c r="B33" s="1">
        <f t="shared" si="1"/>
        <v>29</v>
      </c>
    </row>
    <row r="34" spans="2:2">
      <c r="B34" s="1">
        <f t="shared" si="1"/>
        <v>30</v>
      </c>
    </row>
    <row r="35" spans="2:2">
      <c r="B35" s="1">
        <f t="shared" si="1"/>
        <v>31</v>
      </c>
    </row>
    <row r="36" spans="2:2">
      <c r="B36" s="1">
        <f t="shared" si="1"/>
        <v>32</v>
      </c>
    </row>
    <row r="37" spans="2:2">
      <c r="B37" s="1">
        <f t="shared" si="1"/>
        <v>33</v>
      </c>
    </row>
    <row r="38" spans="2:2">
      <c r="B38" s="1">
        <f t="shared" si="1"/>
        <v>34</v>
      </c>
    </row>
    <row r="39" spans="2:2">
      <c r="B39" s="1">
        <f t="shared" si="1"/>
        <v>35</v>
      </c>
    </row>
    <row r="40" spans="2:2">
      <c r="B40" s="1">
        <f t="shared" si="1"/>
        <v>36</v>
      </c>
    </row>
  </sheetData>
  <mergeCells count="6">
    <mergeCell ref="G3:U3"/>
    <mergeCell ref="B3:B4"/>
    <mergeCell ref="C3:C4"/>
    <mergeCell ref="D3:D4"/>
    <mergeCell ref="E3:E4"/>
    <mergeCell ref="F3:F4"/>
  </mergeCells>
  <phoneticPr fontId="1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Dict!$B$4:$B$7</xm:f>
          </x14:formula1>
          <xm:sqref>F5:F40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IU30"/>
  <sheetViews>
    <sheetView showGridLines="0" workbookViewId="0">
      <selection activeCell="M20" sqref="M20"/>
    </sheetView>
  </sheetViews>
  <sheetFormatPr defaultColWidth="9.140625" defaultRowHeight="15"/>
  <cols>
    <col min="1" max="1" width="8.7109375" style="2" customWidth="1"/>
    <col min="2" max="2" width="11" style="2" customWidth="1"/>
    <col min="3" max="3" width="22.5703125" style="2" customWidth="1"/>
    <col min="4" max="4" width="13.42578125" style="2" customWidth="1"/>
    <col min="5" max="5" width="32.42578125" style="2" bestFit="1" customWidth="1"/>
    <col min="6" max="6" width="25.28515625" style="2" customWidth="1"/>
    <col min="7" max="7" width="8.5703125" style="2" customWidth="1"/>
    <col min="8" max="8" width="11.28515625" style="2" customWidth="1"/>
    <col min="9" max="9" width="10.28515625" style="2" customWidth="1"/>
    <col min="10" max="10" width="24.7109375" style="2" customWidth="1"/>
    <col min="11" max="28" width="12.5703125" style="2" customWidth="1"/>
    <col min="29" max="16384" width="9.140625" style="2"/>
  </cols>
  <sheetData>
    <row r="3" spans="1:255">
      <c r="A3" s="78" t="s">
        <v>4</v>
      </c>
      <c r="B3" s="78" t="s">
        <v>54</v>
      </c>
      <c r="C3" s="78" t="s">
        <v>55</v>
      </c>
      <c r="D3" s="78" t="s">
        <v>21</v>
      </c>
      <c r="E3" s="78" t="s">
        <v>22</v>
      </c>
      <c r="F3" s="78" t="s">
        <v>23</v>
      </c>
      <c r="G3" s="79" t="s">
        <v>71</v>
      </c>
      <c r="H3" s="79" t="s">
        <v>72</v>
      </c>
      <c r="I3" s="79" t="s">
        <v>73</v>
      </c>
      <c r="J3" s="78" t="s">
        <v>27</v>
      </c>
      <c r="K3" s="62" t="s">
        <v>74</v>
      </c>
      <c r="L3" s="63"/>
      <c r="M3" s="64"/>
      <c r="N3" s="62" t="s">
        <v>75</v>
      </c>
      <c r="O3" s="63"/>
      <c r="P3" s="64"/>
      <c r="Q3" s="62" t="s">
        <v>76</v>
      </c>
      <c r="R3" s="63"/>
      <c r="S3" s="64"/>
      <c r="T3" s="62" t="s">
        <v>77</v>
      </c>
      <c r="U3" s="63"/>
      <c r="V3" s="64"/>
      <c r="W3" s="62" t="s">
        <v>78</v>
      </c>
      <c r="X3" s="63"/>
      <c r="Y3" s="64"/>
      <c r="Z3" s="62" t="s">
        <v>79</v>
      </c>
      <c r="AA3" s="63"/>
      <c r="AB3" s="64"/>
      <c r="AC3" s="57" t="s">
        <v>80</v>
      </c>
      <c r="AD3" s="57"/>
      <c r="AE3" s="57"/>
      <c r="AF3" s="57" t="s">
        <v>81</v>
      </c>
      <c r="AG3" s="57"/>
      <c r="AH3" s="57"/>
      <c r="AI3" s="57" t="s">
        <v>82</v>
      </c>
      <c r="AJ3" s="57"/>
      <c r="AK3" s="57"/>
      <c r="AL3" s="57" t="s">
        <v>83</v>
      </c>
      <c r="AM3" s="57"/>
      <c r="AN3" s="57"/>
      <c r="AO3" s="57" t="s">
        <v>84</v>
      </c>
      <c r="AP3" s="57"/>
      <c r="AQ3" s="57"/>
      <c r="AR3" s="57" t="s">
        <v>85</v>
      </c>
      <c r="AS3" s="57"/>
      <c r="AT3" s="57"/>
      <c r="AU3" s="57" t="s">
        <v>86</v>
      </c>
      <c r="AV3" s="57"/>
      <c r="AW3" s="57"/>
      <c r="AX3" s="57" t="s">
        <v>87</v>
      </c>
      <c r="AY3" s="57"/>
      <c r="AZ3" s="57"/>
      <c r="BA3" s="57" t="s">
        <v>88</v>
      </c>
      <c r="BB3" s="57"/>
      <c r="BC3" s="57"/>
      <c r="BD3" s="57" t="s">
        <v>89</v>
      </c>
      <c r="BE3" s="57"/>
      <c r="BF3" s="57"/>
      <c r="BG3" s="57" t="s">
        <v>90</v>
      </c>
      <c r="BH3" s="57"/>
      <c r="BI3" s="57"/>
      <c r="BJ3" s="57" t="s">
        <v>91</v>
      </c>
      <c r="BK3" s="57"/>
      <c r="BL3" s="57"/>
      <c r="BM3" s="57" t="s">
        <v>92</v>
      </c>
      <c r="BN3" s="57"/>
      <c r="BO3" s="57"/>
      <c r="BP3" s="57" t="s">
        <v>93</v>
      </c>
      <c r="BQ3" s="57"/>
      <c r="BR3" s="57"/>
      <c r="BS3" s="2" t="s">
        <v>94</v>
      </c>
      <c r="BV3" s="2" t="s">
        <v>95</v>
      </c>
      <c r="BY3" s="2" t="s">
        <v>96</v>
      </c>
      <c r="CB3" s="2" t="s">
        <v>97</v>
      </c>
      <c r="CE3" s="2" t="s">
        <v>98</v>
      </c>
      <c r="CH3" s="2" t="s">
        <v>99</v>
      </c>
      <c r="CK3" s="2" t="s">
        <v>100</v>
      </c>
      <c r="CN3" s="2" t="s">
        <v>101</v>
      </c>
      <c r="CQ3" s="2" t="s">
        <v>102</v>
      </c>
      <c r="CT3" s="2" t="s">
        <v>103</v>
      </c>
      <c r="CW3" s="2" t="s">
        <v>104</v>
      </c>
      <c r="CZ3" s="2" t="s">
        <v>105</v>
      </c>
      <c r="DC3" s="2" t="s">
        <v>106</v>
      </c>
      <c r="DF3" s="2" t="s">
        <v>107</v>
      </c>
      <c r="DI3" s="2" t="s">
        <v>108</v>
      </c>
      <c r="DL3" s="2" t="s">
        <v>109</v>
      </c>
      <c r="DO3" s="2" t="s">
        <v>110</v>
      </c>
      <c r="DR3" s="2" t="s">
        <v>111</v>
      </c>
      <c r="DU3" s="2" t="s">
        <v>112</v>
      </c>
      <c r="DX3" s="2" t="s">
        <v>113</v>
      </c>
      <c r="EA3" s="2" t="s">
        <v>114</v>
      </c>
      <c r="ED3" s="2" t="s">
        <v>115</v>
      </c>
      <c r="EG3" s="2" t="s">
        <v>116</v>
      </c>
      <c r="EJ3" s="2" t="s">
        <v>117</v>
      </c>
      <c r="EM3" s="2" t="s">
        <v>118</v>
      </c>
      <c r="EP3" s="2" t="s">
        <v>119</v>
      </c>
      <c r="ES3" s="2" t="s">
        <v>120</v>
      </c>
      <c r="EV3" s="2" t="s">
        <v>121</v>
      </c>
      <c r="EY3" s="2" t="s">
        <v>122</v>
      </c>
      <c r="FB3" s="2" t="s">
        <v>123</v>
      </c>
      <c r="FE3" s="2" t="s">
        <v>124</v>
      </c>
      <c r="FH3" s="2" t="s">
        <v>125</v>
      </c>
      <c r="FK3" s="2" t="s">
        <v>126</v>
      </c>
      <c r="FN3" s="2" t="s">
        <v>127</v>
      </c>
      <c r="FQ3" s="2" t="s">
        <v>128</v>
      </c>
      <c r="FT3" s="2" t="s">
        <v>129</v>
      </c>
      <c r="FW3" s="2" t="s">
        <v>130</v>
      </c>
      <c r="FZ3" s="2" t="s">
        <v>131</v>
      </c>
      <c r="GC3" s="2" t="s">
        <v>132</v>
      </c>
      <c r="GF3" s="2" t="s">
        <v>133</v>
      </c>
      <c r="GI3" s="2" t="s">
        <v>134</v>
      </c>
      <c r="GL3" s="2" t="s">
        <v>135</v>
      </c>
      <c r="GO3" s="2" t="s">
        <v>136</v>
      </c>
      <c r="GR3" s="2" t="s">
        <v>137</v>
      </c>
      <c r="GU3" s="2" t="s">
        <v>138</v>
      </c>
      <c r="GX3" s="2" t="s">
        <v>139</v>
      </c>
      <c r="HA3" s="2" t="s">
        <v>140</v>
      </c>
      <c r="HD3" s="2" t="s">
        <v>141</v>
      </c>
      <c r="HG3" s="2" t="s">
        <v>142</v>
      </c>
      <c r="HJ3" s="2" t="s">
        <v>143</v>
      </c>
      <c r="HM3" s="2" t="s">
        <v>144</v>
      </c>
      <c r="HP3" s="2" t="s">
        <v>145</v>
      </c>
      <c r="HS3" s="2" t="s">
        <v>146</v>
      </c>
      <c r="HV3" s="2" t="s">
        <v>147</v>
      </c>
      <c r="HY3" s="2" t="s">
        <v>148</v>
      </c>
      <c r="IB3" s="2" t="s">
        <v>149</v>
      </c>
      <c r="IE3" s="2" t="s">
        <v>150</v>
      </c>
      <c r="IH3" s="2" t="s">
        <v>151</v>
      </c>
      <c r="IK3" s="2" t="s">
        <v>152</v>
      </c>
      <c r="IN3" s="2" t="s">
        <v>153</v>
      </c>
      <c r="IQ3" s="2" t="s">
        <v>154</v>
      </c>
      <c r="IT3" s="2" t="s">
        <v>155</v>
      </c>
    </row>
    <row r="4" spans="1:255">
      <c r="A4" s="78"/>
      <c r="B4" s="78"/>
      <c r="C4" s="78"/>
      <c r="D4" s="78"/>
      <c r="E4" s="78"/>
      <c r="F4" s="78"/>
      <c r="G4" s="78"/>
      <c r="H4" s="78"/>
      <c r="I4" s="78"/>
      <c r="J4" s="78"/>
      <c r="K4" s="65"/>
      <c r="L4" s="66"/>
      <c r="M4" s="67"/>
      <c r="N4" s="65"/>
      <c r="O4" s="66"/>
      <c r="P4" s="67"/>
      <c r="Q4" s="65"/>
      <c r="R4" s="66"/>
      <c r="S4" s="67"/>
      <c r="T4" s="65"/>
      <c r="U4" s="66"/>
      <c r="V4" s="67"/>
      <c r="W4" s="65"/>
      <c r="X4" s="66"/>
      <c r="Y4" s="67"/>
      <c r="Z4" s="65"/>
      <c r="AA4" s="66"/>
      <c r="AB4" s="6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</row>
    <row r="5" spans="1:255">
      <c r="A5" s="9"/>
      <c r="B5" s="9" t="s">
        <v>56</v>
      </c>
      <c r="C5" s="9" t="s">
        <v>57</v>
      </c>
      <c r="D5" s="9" t="s">
        <v>28</v>
      </c>
      <c r="E5" s="9" t="s">
        <v>29</v>
      </c>
      <c r="F5" s="9" t="s">
        <v>30</v>
      </c>
      <c r="G5" s="9" t="s">
        <v>31</v>
      </c>
      <c r="H5" s="9" t="s">
        <v>32</v>
      </c>
      <c r="I5" s="9" t="s">
        <v>33</v>
      </c>
      <c r="J5" s="9" t="s">
        <v>34</v>
      </c>
      <c r="K5" s="9" t="s">
        <v>156</v>
      </c>
      <c r="L5" s="9" t="s">
        <v>157</v>
      </c>
      <c r="M5" s="9" t="s">
        <v>158</v>
      </c>
      <c r="N5" s="9" t="s">
        <v>156</v>
      </c>
      <c r="O5" s="9" t="s">
        <v>157</v>
      </c>
      <c r="P5" s="9" t="s">
        <v>158</v>
      </c>
      <c r="Q5" s="9" t="s">
        <v>156</v>
      </c>
      <c r="R5" s="9" t="s">
        <v>157</v>
      </c>
      <c r="S5" s="9" t="s">
        <v>158</v>
      </c>
      <c r="T5" s="9" t="s">
        <v>156</v>
      </c>
      <c r="U5" s="9" t="s">
        <v>157</v>
      </c>
      <c r="V5" s="9" t="s">
        <v>158</v>
      </c>
      <c r="W5" s="9" t="s">
        <v>156</v>
      </c>
      <c r="X5" s="9" t="s">
        <v>157</v>
      </c>
      <c r="Y5" s="9" t="s">
        <v>158</v>
      </c>
      <c r="Z5" s="9" t="s">
        <v>156</v>
      </c>
      <c r="AA5" s="9" t="s">
        <v>157</v>
      </c>
      <c r="AB5" s="9" t="s">
        <v>158</v>
      </c>
      <c r="AC5" s="2" t="s">
        <v>156</v>
      </c>
      <c r="AD5" s="2" t="s">
        <v>157</v>
      </c>
      <c r="AE5" s="2" t="s">
        <v>158</v>
      </c>
      <c r="AF5" s="2" t="s">
        <v>156</v>
      </c>
      <c r="AG5" s="2" t="s">
        <v>157</v>
      </c>
      <c r="AH5" s="2" t="s">
        <v>158</v>
      </c>
      <c r="AI5" s="2" t="s">
        <v>156</v>
      </c>
      <c r="AJ5" s="2" t="s">
        <v>157</v>
      </c>
      <c r="AK5" s="2" t="s">
        <v>158</v>
      </c>
      <c r="AL5" s="2" t="s">
        <v>156</v>
      </c>
      <c r="AM5" s="2" t="s">
        <v>157</v>
      </c>
      <c r="AN5" s="2" t="s">
        <v>158</v>
      </c>
      <c r="AO5" s="2" t="s">
        <v>156</v>
      </c>
      <c r="AP5" s="2" t="s">
        <v>157</v>
      </c>
      <c r="AQ5" s="2" t="s">
        <v>158</v>
      </c>
      <c r="AR5" s="2" t="s">
        <v>156</v>
      </c>
      <c r="AS5" s="2" t="s">
        <v>157</v>
      </c>
      <c r="AT5" s="2" t="s">
        <v>158</v>
      </c>
      <c r="AU5" s="2" t="s">
        <v>156</v>
      </c>
      <c r="AV5" s="2" t="s">
        <v>157</v>
      </c>
      <c r="AW5" s="2" t="s">
        <v>158</v>
      </c>
      <c r="AX5" s="2" t="s">
        <v>156</v>
      </c>
      <c r="AY5" s="2" t="s">
        <v>157</v>
      </c>
      <c r="AZ5" s="2" t="s">
        <v>158</v>
      </c>
      <c r="BA5" s="2" t="s">
        <v>156</v>
      </c>
      <c r="BB5" s="2" t="s">
        <v>157</v>
      </c>
      <c r="BC5" s="2" t="s">
        <v>158</v>
      </c>
      <c r="BD5" s="2" t="s">
        <v>156</v>
      </c>
      <c r="BE5" s="2" t="s">
        <v>157</v>
      </c>
      <c r="BF5" s="2" t="s">
        <v>158</v>
      </c>
      <c r="BG5" s="2" t="s">
        <v>156</v>
      </c>
      <c r="BH5" s="2" t="s">
        <v>157</v>
      </c>
      <c r="BI5" s="2" t="s">
        <v>158</v>
      </c>
      <c r="BJ5" s="2" t="s">
        <v>156</v>
      </c>
      <c r="BK5" s="2" t="s">
        <v>157</v>
      </c>
      <c r="BL5" s="2" t="s">
        <v>158</v>
      </c>
      <c r="BM5" s="2" t="s">
        <v>156</v>
      </c>
      <c r="BN5" s="2" t="s">
        <v>157</v>
      </c>
      <c r="BO5" s="2" t="s">
        <v>158</v>
      </c>
      <c r="BP5" s="2" t="s">
        <v>156</v>
      </c>
      <c r="BQ5" s="2" t="s">
        <v>157</v>
      </c>
      <c r="BR5" s="2" t="s">
        <v>158</v>
      </c>
      <c r="BS5" s="2" t="s">
        <v>156</v>
      </c>
      <c r="BT5" s="2" t="s">
        <v>157</v>
      </c>
      <c r="BU5" s="2" t="s">
        <v>158</v>
      </c>
      <c r="BV5" s="2" t="s">
        <v>156</v>
      </c>
      <c r="BW5" s="2" t="s">
        <v>157</v>
      </c>
      <c r="BX5" s="2" t="s">
        <v>158</v>
      </c>
      <c r="BY5" s="2" t="s">
        <v>156</v>
      </c>
      <c r="BZ5" s="2" t="s">
        <v>157</v>
      </c>
      <c r="CA5" s="2" t="s">
        <v>158</v>
      </c>
      <c r="CB5" s="2" t="s">
        <v>156</v>
      </c>
      <c r="CC5" s="2" t="s">
        <v>157</v>
      </c>
      <c r="CD5" s="2" t="s">
        <v>158</v>
      </c>
      <c r="CE5" s="2" t="s">
        <v>156</v>
      </c>
      <c r="CF5" s="2" t="s">
        <v>157</v>
      </c>
      <c r="CG5" s="2" t="s">
        <v>158</v>
      </c>
      <c r="CH5" s="2" t="s">
        <v>156</v>
      </c>
      <c r="CI5" s="2" t="s">
        <v>157</v>
      </c>
      <c r="CJ5" s="2" t="s">
        <v>158</v>
      </c>
      <c r="CK5" s="2" t="s">
        <v>156</v>
      </c>
      <c r="CL5" s="2" t="s">
        <v>157</v>
      </c>
      <c r="CM5" s="2" t="s">
        <v>158</v>
      </c>
      <c r="CN5" s="2" t="s">
        <v>156</v>
      </c>
      <c r="CO5" s="2" t="s">
        <v>157</v>
      </c>
      <c r="CP5" s="2" t="s">
        <v>158</v>
      </c>
      <c r="CQ5" s="2" t="s">
        <v>156</v>
      </c>
      <c r="CR5" s="2" t="s">
        <v>157</v>
      </c>
      <c r="CS5" s="2" t="s">
        <v>158</v>
      </c>
      <c r="CT5" s="2" t="s">
        <v>156</v>
      </c>
      <c r="CU5" s="2" t="s">
        <v>157</v>
      </c>
      <c r="CV5" s="2" t="s">
        <v>158</v>
      </c>
      <c r="CW5" s="2" t="s">
        <v>156</v>
      </c>
      <c r="CX5" s="2" t="s">
        <v>157</v>
      </c>
      <c r="CY5" s="2" t="s">
        <v>158</v>
      </c>
      <c r="CZ5" s="2" t="s">
        <v>156</v>
      </c>
      <c r="DA5" s="2" t="s">
        <v>157</v>
      </c>
      <c r="DB5" s="2" t="s">
        <v>158</v>
      </c>
      <c r="DC5" s="2" t="s">
        <v>156</v>
      </c>
      <c r="DD5" s="2" t="s">
        <v>157</v>
      </c>
      <c r="DE5" s="2" t="s">
        <v>158</v>
      </c>
      <c r="DF5" s="2" t="s">
        <v>156</v>
      </c>
      <c r="DG5" s="2" t="s">
        <v>157</v>
      </c>
      <c r="DH5" s="2" t="s">
        <v>158</v>
      </c>
      <c r="DI5" s="2" t="s">
        <v>156</v>
      </c>
      <c r="DJ5" s="2" t="s">
        <v>157</v>
      </c>
      <c r="DK5" s="2" t="s">
        <v>158</v>
      </c>
      <c r="DL5" s="2" t="s">
        <v>156</v>
      </c>
      <c r="DM5" s="2" t="s">
        <v>157</v>
      </c>
      <c r="DN5" s="2" t="s">
        <v>158</v>
      </c>
      <c r="DO5" s="2" t="s">
        <v>156</v>
      </c>
      <c r="DP5" s="2" t="s">
        <v>157</v>
      </c>
      <c r="DQ5" s="2" t="s">
        <v>158</v>
      </c>
      <c r="DR5" s="2" t="s">
        <v>156</v>
      </c>
      <c r="DS5" s="2" t="s">
        <v>157</v>
      </c>
      <c r="DT5" s="2" t="s">
        <v>158</v>
      </c>
      <c r="DU5" s="2" t="s">
        <v>156</v>
      </c>
      <c r="DV5" s="2" t="s">
        <v>157</v>
      </c>
      <c r="DW5" s="2" t="s">
        <v>158</v>
      </c>
      <c r="DX5" s="2" t="s">
        <v>156</v>
      </c>
      <c r="DY5" s="2" t="s">
        <v>157</v>
      </c>
      <c r="DZ5" s="2" t="s">
        <v>158</v>
      </c>
      <c r="EA5" s="2" t="s">
        <v>156</v>
      </c>
      <c r="EB5" s="2" t="s">
        <v>157</v>
      </c>
      <c r="EC5" s="2" t="s">
        <v>158</v>
      </c>
      <c r="ED5" s="2" t="s">
        <v>156</v>
      </c>
      <c r="EE5" s="2" t="s">
        <v>157</v>
      </c>
      <c r="EF5" s="2" t="s">
        <v>158</v>
      </c>
      <c r="EG5" s="2" t="s">
        <v>156</v>
      </c>
      <c r="EH5" s="2" t="s">
        <v>157</v>
      </c>
      <c r="EI5" s="2" t="s">
        <v>158</v>
      </c>
      <c r="EJ5" s="2" t="s">
        <v>156</v>
      </c>
      <c r="EK5" s="2" t="s">
        <v>157</v>
      </c>
      <c r="EL5" s="2" t="s">
        <v>158</v>
      </c>
      <c r="EM5" s="2" t="s">
        <v>156</v>
      </c>
      <c r="EN5" s="2" t="s">
        <v>157</v>
      </c>
      <c r="EO5" s="2" t="s">
        <v>158</v>
      </c>
      <c r="EP5" s="2" t="s">
        <v>156</v>
      </c>
      <c r="EQ5" s="2" t="s">
        <v>157</v>
      </c>
      <c r="ER5" s="2" t="s">
        <v>158</v>
      </c>
      <c r="ES5" s="2" t="s">
        <v>156</v>
      </c>
      <c r="ET5" s="2" t="s">
        <v>157</v>
      </c>
      <c r="EU5" s="2" t="s">
        <v>158</v>
      </c>
      <c r="EV5" s="2" t="s">
        <v>156</v>
      </c>
      <c r="EW5" s="2" t="s">
        <v>157</v>
      </c>
      <c r="EX5" s="2" t="s">
        <v>158</v>
      </c>
      <c r="EY5" s="2" t="s">
        <v>156</v>
      </c>
      <c r="EZ5" s="2" t="s">
        <v>157</v>
      </c>
      <c r="FA5" s="2" t="s">
        <v>158</v>
      </c>
      <c r="FB5" s="2" t="s">
        <v>156</v>
      </c>
      <c r="FC5" s="2" t="s">
        <v>157</v>
      </c>
      <c r="FD5" s="2" t="s">
        <v>158</v>
      </c>
      <c r="FE5" s="2" t="s">
        <v>156</v>
      </c>
      <c r="FF5" s="2" t="s">
        <v>157</v>
      </c>
      <c r="FG5" s="2" t="s">
        <v>158</v>
      </c>
      <c r="FH5" s="2" t="s">
        <v>156</v>
      </c>
      <c r="FI5" s="2" t="s">
        <v>157</v>
      </c>
      <c r="FJ5" s="2" t="s">
        <v>158</v>
      </c>
      <c r="FK5" s="2" t="s">
        <v>156</v>
      </c>
      <c r="FL5" s="2" t="s">
        <v>157</v>
      </c>
      <c r="FM5" s="2" t="s">
        <v>158</v>
      </c>
      <c r="FN5" s="2" t="s">
        <v>156</v>
      </c>
      <c r="FO5" s="2" t="s">
        <v>157</v>
      </c>
      <c r="FP5" s="2" t="s">
        <v>158</v>
      </c>
      <c r="FQ5" s="2" t="s">
        <v>156</v>
      </c>
      <c r="FR5" s="2" t="s">
        <v>157</v>
      </c>
      <c r="FS5" s="2" t="s">
        <v>158</v>
      </c>
      <c r="FT5" s="2" t="s">
        <v>156</v>
      </c>
      <c r="FU5" s="2" t="s">
        <v>157</v>
      </c>
      <c r="FV5" s="2" t="s">
        <v>158</v>
      </c>
      <c r="FW5" s="2" t="s">
        <v>156</v>
      </c>
      <c r="FX5" s="2" t="s">
        <v>157</v>
      </c>
      <c r="FY5" s="2" t="s">
        <v>158</v>
      </c>
      <c r="FZ5" s="2" t="s">
        <v>156</v>
      </c>
      <c r="GA5" s="2" t="s">
        <v>157</v>
      </c>
      <c r="GB5" s="2" t="s">
        <v>158</v>
      </c>
      <c r="GC5" s="2" t="s">
        <v>156</v>
      </c>
      <c r="GD5" s="2" t="s">
        <v>157</v>
      </c>
      <c r="GE5" s="2" t="s">
        <v>158</v>
      </c>
      <c r="GF5" s="2" t="s">
        <v>156</v>
      </c>
      <c r="GG5" s="2" t="s">
        <v>157</v>
      </c>
      <c r="GH5" s="2" t="s">
        <v>158</v>
      </c>
      <c r="GI5" s="2" t="s">
        <v>156</v>
      </c>
      <c r="GJ5" s="2" t="s">
        <v>157</v>
      </c>
      <c r="GK5" s="2" t="s">
        <v>158</v>
      </c>
      <c r="GL5" s="2" t="s">
        <v>156</v>
      </c>
      <c r="GM5" s="2" t="s">
        <v>157</v>
      </c>
      <c r="GN5" s="2" t="s">
        <v>158</v>
      </c>
      <c r="GO5" s="2" t="s">
        <v>156</v>
      </c>
      <c r="GP5" s="2" t="s">
        <v>157</v>
      </c>
      <c r="GQ5" s="2" t="s">
        <v>158</v>
      </c>
      <c r="GR5" s="2" t="s">
        <v>156</v>
      </c>
      <c r="GS5" s="2" t="s">
        <v>157</v>
      </c>
      <c r="GT5" s="2" t="s">
        <v>158</v>
      </c>
      <c r="GU5" s="2" t="s">
        <v>156</v>
      </c>
      <c r="GV5" s="2" t="s">
        <v>157</v>
      </c>
      <c r="GW5" s="2" t="s">
        <v>158</v>
      </c>
      <c r="GX5" s="2" t="s">
        <v>156</v>
      </c>
      <c r="GY5" s="2" t="s">
        <v>157</v>
      </c>
      <c r="GZ5" s="2" t="s">
        <v>158</v>
      </c>
      <c r="HA5" s="2" t="s">
        <v>156</v>
      </c>
      <c r="HB5" s="2" t="s">
        <v>157</v>
      </c>
      <c r="HC5" s="2" t="s">
        <v>158</v>
      </c>
      <c r="HD5" s="2" t="s">
        <v>156</v>
      </c>
      <c r="HE5" s="2" t="s">
        <v>157</v>
      </c>
      <c r="HF5" s="2" t="s">
        <v>158</v>
      </c>
      <c r="HG5" s="2" t="s">
        <v>156</v>
      </c>
      <c r="HH5" s="2" t="s">
        <v>157</v>
      </c>
      <c r="HI5" s="2" t="s">
        <v>158</v>
      </c>
      <c r="HJ5" s="2" t="s">
        <v>156</v>
      </c>
      <c r="HK5" s="2" t="s">
        <v>157</v>
      </c>
      <c r="HL5" s="2" t="s">
        <v>158</v>
      </c>
      <c r="HM5" s="2" t="s">
        <v>156</v>
      </c>
      <c r="HN5" s="2" t="s">
        <v>157</v>
      </c>
      <c r="HO5" s="2" t="s">
        <v>158</v>
      </c>
      <c r="HP5" s="2" t="s">
        <v>156</v>
      </c>
      <c r="HQ5" s="2" t="s">
        <v>157</v>
      </c>
      <c r="HR5" s="2" t="s">
        <v>158</v>
      </c>
      <c r="HS5" s="2" t="s">
        <v>156</v>
      </c>
      <c r="HT5" s="2" t="s">
        <v>157</v>
      </c>
      <c r="HU5" s="2" t="s">
        <v>158</v>
      </c>
      <c r="HV5" s="2" t="s">
        <v>156</v>
      </c>
      <c r="HW5" s="2" t="s">
        <v>157</v>
      </c>
      <c r="HX5" s="2" t="s">
        <v>158</v>
      </c>
      <c r="HY5" s="2" t="s">
        <v>156</v>
      </c>
      <c r="HZ5" s="2" t="s">
        <v>157</v>
      </c>
      <c r="IA5" s="2" t="s">
        <v>158</v>
      </c>
      <c r="IB5" s="2" t="s">
        <v>156</v>
      </c>
      <c r="IC5" s="2" t="s">
        <v>157</v>
      </c>
      <c r="ID5" s="2" t="s">
        <v>158</v>
      </c>
      <c r="IE5" s="2" t="s">
        <v>156</v>
      </c>
      <c r="IF5" s="2" t="s">
        <v>157</v>
      </c>
      <c r="IG5" s="2" t="s">
        <v>158</v>
      </c>
      <c r="IH5" s="2" t="s">
        <v>156</v>
      </c>
      <c r="II5" s="2" t="s">
        <v>157</v>
      </c>
      <c r="IJ5" s="2" t="s">
        <v>158</v>
      </c>
      <c r="IK5" s="2" t="s">
        <v>156</v>
      </c>
      <c r="IL5" s="2" t="s">
        <v>157</v>
      </c>
      <c r="IM5" s="2" t="s">
        <v>158</v>
      </c>
      <c r="IN5" s="2" t="s">
        <v>156</v>
      </c>
      <c r="IO5" s="2" t="s">
        <v>157</v>
      </c>
      <c r="IP5" s="2" t="s">
        <v>158</v>
      </c>
      <c r="IQ5" s="2" t="s">
        <v>156</v>
      </c>
      <c r="IR5" s="2" t="s">
        <v>157</v>
      </c>
      <c r="IS5" s="2" t="s">
        <v>158</v>
      </c>
      <c r="IT5" s="2" t="s">
        <v>156</v>
      </c>
      <c r="IU5" s="2" t="s">
        <v>157</v>
      </c>
    </row>
    <row r="6" spans="1:255">
      <c r="A6" s="19">
        <v>1</v>
      </c>
      <c r="B6" s="19">
        <f>A6+1</f>
        <v>2</v>
      </c>
      <c r="C6" s="19">
        <f t="shared" ref="C6:AB6" si="0">B6+1</f>
        <v>3</v>
      </c>
      <c r="D6" s="19">
        <f t="shared" si="0"/>
        <v>4</v>
      </c>
      <c r="E6" s="19">
        <f t="shared" si="0"/>
        <v>5</v>
      </c>
      <c r="F6" s="19">
        <f t="shared" si="0"/>
        <v>6</v>
      </c>
      <c r="G6" s="19">
        <f t="shared" si="0"/>
        <v>7</v>
      </c>
      <c r="H6" s="19">
        <f t="shared" si="0"/>
        <v>8</v>
      </c>
      <c r="I6" s="19">
        <f t="shared" si="0"/>
        <v>9</v>
      </c>
      <c r="J6" s="19">
        <f t="shared" si="0"/>
        <v>10</v>
      </c>
      <c r="K6" s="19">
        <f t="shared" si="0"/>
        <v>11</v>
      </c>
      <c r="L6" s="19">
        <f t="shared" si="0"/>
        <v>12</v>
      </c>
      <c r="M6" s="19">
        <f t="shared" si="0"/>
        <v>13</v>
      </c>
      <c r="N6" s="19">
        <f t="shared" si="0"/>
        <v>14</v>
      </c>
      <c r="O6" s="19">
        <f t="shared" si="0"/>
        <v>15</v>
      </c>
      <c r="P6" s="19">
        <f t="shared" si="0"/>
        <v>16</v>
      </c>
      <c r="Q6" s="19">
        <f t="shared" si="0"/>
        <v>17</v>
      </c>
      <c r="R6" s="19">
        <f t="shared" si="0"/>
        <v>18</v>
      </c>
      <c r="S6" s="19">
        <f t="shared" si="0"/>
        <v>19</v>
      </c>
      <c r="T6" s="19">
        <f t="shared" si="0"/>
        <v>20</v>
      </c>
      <c r="U6" s="19">
        <f t="shared" si="0"/>
        <v>21</v>
      </c>
      <c r="V6" s="19">
        <f t="shared" si="0"/>
        <v>22</v>
      </c>
      <c r="W6" s="19">
        <f t="shared" si="0"/>
        <v>23</v>
      </c>
      <c r="X6" s="19">
        <f t="shared" si="0"/>
        <v>24</v>
      </c>
      <c r="Y6" s="19">
        <f t="shared" si="0"/>
        <v>25</v>
      </c>
      <c r="Z6" s="19">
        <f t="shared" si="0"/>
        <v>26</v>
      </c>
      <c r="AA6" s="19">
        <f t="shared" si="0"/>
        <v>27</v>
      </c>
      <c r="AB6" s="19">
        <f t="shared" si="0"/>
        <v>28</v>
      </c>
    </row>
    <row r="7" spans="1:255" s="7" customFormat="1">
      <c r="A7" s="74">
        <v>1</v>
      </c>
      <c r="B7" s="74" t="s">
        <v>58</v>
      </c>
      <c r="C7" s="74" t="s">
        <v>59</v>
      </c>
      <c r="D7" s="71" t="s">
        <v>166</v>
      </c>
      <c r="E7" s="72"/>
      <c r="F7" s="72"/>
      <c r="G7" s="72"/>
      <c r="H7" s="72"/>
      <c r="I7" s="72"/>
      <c r="J7" s="73"/>
      <c r="K7" s="68" t="s">
        <v>167</v>
      </c>
      <c r="L7" s="69"/>
      <c r="M7" s="70"/>
      <c r="N7" s="68"/>
      <c r="O7" s="69"/>
      <c r="P7" s="70"/>
      <c r="Q7" s="68"/>
      <c r="R7" s="69"/>
      <c r="S7" s="70"/>
      <c r="T7" s="68"/>
      <c r="U7" s="69"/>
      <c r="V7" s="70"/>
      <c r="W7" s="68"/>
      <c r="X7" s="69"/>
      <c r="Y7" s="70"/>
      <c r="Z7" s="68"/>
      <c r="AA7" s="69"/>
      <c r="AB7" s="70"/>
    </row>
    <row r="8" spans="1:255" ht="15" customHeight="1">
      <c r="A8" s="74"/>
      <c r="B8" s="74"/>
      <c r="C8" s="74"/>
      <c r="D8" s="80" t="s">
        <v>60</v>
      </c>
      <c r="E8" s="76" t="s">
        <v>161</v>
      </c>
      <c r="F8" s="76" t="s">
        <v>67</v>
      </c>
      <c r="G8" s="76" t="s">
        <v>35</v>
      </c>
      <c r="H8" s="9" t="s">
        <v>159</v>
      </c>
      <c r="I8" s="9" t="s">
        <v>51</v>
      </c>
      <c r="J8" s="9" t="s">
        <v>68</v>
      </c>
      <c r="K8" s="9"/>
      <c r="L8" s="9" t="str">
        <f>H8&amp;":"&amp;K8</f>
        <v>mcID:</v>
      </c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</row>
    <row r="9" spans="1:255">
      <c r="A9" s="74"/>
      <c r="B9" s="74"/>
      <c r="C9" s="74"/>
      <c r="D9" s="82"/>
      <c r="E9" s="77"/>
      <c r="F9" s="77"/>
      <c r="G9" s="77"/>
      <c r="H9" s="9" t="s">
        <v>160</v>
      </c>
      <c r="I9" s="9" t="s">
        <v>37</v>
      </c>
      <c r="J9" s="9" t="s">
        <v>66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</row>
    <row r="10" spans="1:255">
      <c r="A10" s="74"/>
      <c r="B10" s="74"/>
      <c r="C10" s="74"/>
      <c r="D10" s="75" t="s">
        <v>162</v>
      </c>
      <c r="E10" s="75"/>
      <c r="F10" s="75"/>
      <c r="G10" s="75"/>
      <c r="H10" s="75"/>
      <c r="I10" s="75"/>
      <c r="J10" s="75"/>
      <c r="K10" s="59"/>
      <c r="L10" s="60"/>
      <c r="M10" s="61"/>
      <c r="N10" s="59"/>
      <c r="O10" s="60"/>
      <c r="P10" s="61"/>
      <c r="Q10" s="59"/>
      <c r="R10" s="60"/>
      <c r="S10" s="61"/>
      <c r="T10" s="59"/>
      <c r="U10" s="60"/>
      <c r="V10" s="61"/>
      <c r="W10" s="59"/>
      <c r="X10" s="60"/>
      <c r="Y10" s="61"/>
      <c r="Z10" s="59"/>
      <c r="AA10" s="60"/>
      <c r="AB10" s="61"/>
    </row>
    <row r="11" spans="1:255">
      <c r="A11" s="74"/>
      <c r="B11" s="74"/>
      <c r="C11" s="74"/>
      <c r="D11" s="75" t="s">
        <v>163</v>
      </c>
      <c r="E11" s="75"/>
      <c r="F11" s="75"/>
      <c r="G11" s="75"/>
      <c r="H11" s="75"/>
      <c r="I11" s="75"/>
      <c r="J11" s="75"/>
      <c r="K11" s="59"/>
      <c r="L11" s="60"/>
      <c r="M11" s="61"/>
      <c r="N11" s="59"/>
      <c r="O11" s="60"/>
      <c r="P11" s="61"/>
      <c r="Q11" s="59"/>
      <c r="R11" s="60"/>
      <c r="S11" s="61"/>
      <c r="T11" s="59"/>
      <c r="U11" s="60"/>
      <c r="V11" s="61"/>
      <c r="W11" s="59"/>
      <c r="X11" s="60"/>
      <c r="Y11" s="61"/>
      <c r="Z11" s="59"/>
      <c r="AA11" s="60"/>
      <c r="AB11" s="61"/>
    </row>
    <row r="12" spans="1:255">
      <c r="A12" s="74"/>
      <c r="B12" s="74"/>
      <c r="C12" s="74"/>
      <c r="D12" s="75" t="s">
        <v>164</v>
      </c>
      <c r="E12" s="75"/>
      <c r="F12" s="75"/>
      <c r="G12" s="75"/>
      <c r="H12" s="75"/>
      <c r="I12" s="75"/>
      <c r="J12" s="75"/>
      <c r="K12" s="59"/>
      <c r="L12" s="60"/>
      <c r="M12" s="61"/>
      <c r="N12" s="59"/>
      <c r="O12" s="60"/>
      <c r="P12" s="61"/>
      <c r="Q12" s="59"/>
      <c r="R12" s="60"/>
      <c r="S12" s="61"/>
      <c r="T12" s="59"/>
      <c r="U12" s="60"/>
      <c r="V12" s="61"/>
      <c r="W12" s="59"/>
      <c r="X12" s="60"/>
      <c r="Y12" s="61"/>
      <c r="Z12" s="59"/>
      <c r="AA12" s="60"/>
      <c r="AB12" s="61"/>
    </row>
    <row r="13" spans="1:255">
      <c r="A13" s="74"/>
      <c r="B13" s="74"/>
      <c r="C13" s="74"/>
      <c r="D13" s="75" t="s">
        <v>165</v>
      </c>
      <c r="E13" s="75"/>
      <c r="F13" s="75"/>
      <c r="G13" s="75"/>
      <c r="H13" s="75"/>
      <c r="I13" s="75"/>
      <c r="J13" s="75"/>
      <c r="K13" s="59"/>
      <c r="L13" s="60"/>
      <c r="M13" s="61"/>
      <c r="N13" s="59"/>
      <c r="O13" s="60"/>
      <c r="P13" s="61"/>
      <c r="Q13" s="59"/>
      <c r="R13" s="60"/>
      <c r="S13" s="61"/>
      <c r="T13" s="59"/>
      <c r="U13" s="60"/>
      <c r="V13" s="61"/>
      <c r="W13" s="59"/>
      <c r="X13" s="60"/>
      <c r="Y13" s="61"/>
      <c r="Z13" s="59"/>
      <c r="AA13" s="60"/>
      <c r="AB13" s="61"/>
    </row>
    <row r="14" spans="1:255">
      <c r="A14" s="80">
        <v>2</v>
      </c>
      <c r="B14" s="80" t="s">
        <v>61</v>
      </c>
      <c r="C14" s="80" t="s">
        <v>62</v>
      </c>
      <c r="D14" s="71" t="s">
        <v>166</v>
      </c>
      <c r="E14" s="72"/>
      <c r="F14" s="72"/>
      <c r="G14" s="72"/>
      <c r="H14" s="72"/>
      <c r="I14" s="72"/>
      <c r="J14" s="73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</row>
    <row r="15" spans="1:255" ht="16.5">
      <c r="A15" s="81"/>
      <c r="B15" s="81"/>
      <c r="C15" s="81"/>
      <c r="D15" s="80" t="s">
        <v>63</v>
      </c>
      <c r="E15" s="80" t="s">
        <v>64</v>
      </c>
      <c r="F15" s="80" t="s">
        <v>65</v>
      </c>
      <c r="G15" s="80" t="s">
        <v>35</v>
      </c>
      <c r="H15" s="9" t="s">
        <v>36</v>
      </c>
      <c r="I15" s="9" t="s">
        <v>37</v>
      </c>
      <c r="J15" s="11" t="s">
        <v>38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</row>
    <row r="16" spans="1:255" ht="16.5">
      <c r="A16" s="81"/>
      <c r="B16" s="81"/>
      <c r="C16" s="81"/>
      <c r="D16" s="81"/>
      <c r="E16" s="81"/>
      <c r="F16" s="81"/>
      <c r="G16" s="81"/>
      <c r="H16" s="9" t="s">
        <v>39</v>
      </c>
      <c r="I16" s="9" t="s">
        <v>37</v>
      </c>
      <c r="J16" s="11" t="s">
        <v>40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</row>
    <row r="17" spans="1:28" ht="16.5">
      <c r="A17" s="81"/>
      <c r="B17" s="81"/>
      <c r="C17" s="81"/>
      <c r="D17" s="81"/>
      <c r="E17" s="81"/>
      <c r="F17" s="81"/>
      <c r="G17" s="81"/>
      <c r="H17" s="9" t="s">
        <v>41</v>
      </c>
      <c r="I17" s="9" t="s">
        <v>42</v>
      </c>
      <c r="J17" s="11" t="s">
        <v>43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</row>
    <row r="18" spans="1:28" ht="16.5">
      <c r="A18" s="81"/>
      <c r="B18" s="81"/>
      <c r="C18" s="81"/>
      <c r="D18" s="81"/>
      <c r="E18" s="81"/>
      <c r="F18" s="81"/>
      <c r="G18" s="81"/>
      <c r="H18" s="9" t="s">
        <v>44</v>
      </c>
      <c r="I18" s="9" t="s">
        <v>45</v>
      </c>
      <c r="J18" s="11" t="s">
        <v>46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</row>
    <row r="19" spans="1:28" ht="16.5">
      <c r="A19" s="81"/>
      <c r="B19" s="81"/>
      <c r="C19" s="81"/>
      <c r="D19" s="81"/>
      <c r="E19" s="81"/>
      <c r="F19" s="81"/>
      <c r="G19" s="81"/>
      <c r="H19" s="9" t="s">
        <v>47</v>
      </c>
      <c r="I19" s="9" t="s">
        <v>37</v>
      </c>
      <c r="J19" s="11" t="s">
        <v>48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</row>
    <row r="20" spans="1:28">
      <c r="A20" s="81"/>
      <c r="B20" s="81"/>
      <c r="C20" s="81"/>
      <c r="D20" s="82"/>
      <c r="E20" s="82"/>
      <c r="F20" s="82"/>
      <c r="G20" s="82"/>
      <c r="H20" s="9" t="s">
        <v>49</v>
      </c>
      <c r="I20" s="9" t="s">
        <v>37</v>
      </c>
      <c r="J20" s="9" t="s">
        <v>50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</row>
    <row r="21" spans="1:28">
      <c r="A21" s="81"/>
      <c r="B21" s="81"/>
      <c r="C21" s="81"/>
      <c r="D21" s="75" t="s">
        <v>162</v>
      </c>
      <c r="E21" s="75"/>
      <c r="F21" s="75"/>
      <c r="G21" s="75"/>
      <c r="H21" s="75"/>
      <c r="I21" s="75"/>
      <c r="J21" s="75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</row>
    <row r="22" spans="1:28">
      <c r="A22" s="81"/>
      <c r="B22" s="81"/>
      <c r="C22" s="81"/>
      <c r="D22" s="75" t="s">
        <v>163</v>
      </c>
      <c r="E22" s="75"/>
      <c r="F22" s="75"/>
      <c r="G22" s="75"/>
      <c r="H22" s="75"/>
      <c r="I22" s="75"/>
      <c r="J22" s="75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</row>
    <row r="23" spans="1:28">
      <c r="A23" s="81"/>
      <c r="B23" s="81"/>
      <c r="C23" s="81"/>
      <c r="D23" s="75" t="s">
        <v>164</v>
      </c>
      <c r="E23" s="75"/>
      <c r="F23" s="75"/>
      <c r="G23" s="75"/>
      <c r="H23" s="75"/>
      <c r="I23" s="75"/>
      <c r="J23" s="75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</row>
    <row r="24" spans="1:28">
      <c r="A24" s="82"/>
      <c r="B24" s="82"/>
      <c r="C24" s="82"/>
      <c r="D24" s="75" t="s">
        <v>165</v>
      </c>
      <c r="E24" s="75"/>
      <c r="F24" s="75"/>
      <c r="G24" s="75"/>
      <c r="H24" s="75"/>
      <c r="I24" s="75"/>
      <c r="J24" s="75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</row>
    <row r="25" spans="1:28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</row>
    <row r="26" spans="1:28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</row>
    <row r="27" spans="1:28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</row>
    <row r="28" spans="1:28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</row>
    <row r="29" spans="1:28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</row>
    <row r="30" spans="1:28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</row>
  </sheetData>
  <mergeCells count="98">
    <mergeCell ref="D14:J14"/>
    <mergeCell ref="B14:B24"/>
    <mergeCell ref="C14:C24"/>
    <mergeCell ref="A14:A24"/>
    <mergeCell ref="D8:D9"/>
    <mergeCell ref="D15:D20"/>
    <mergeCell ref="E15:E20"/>
    <mergeCell ref="F15:F20"/>
    <mergeCell ref="G15:G20"/>
    <mergeCell ref="D24:J24"/>
    <mergeCell ref="D21:J21"/>
    <mergeCell ref="D22:J22"/>
    <mergeCell ref="D23:J23"/>
    <mergeCell ref="D10:J10"/>
    <mergeCell ref="E8:E9"/>
    <mergeCell ref="G8:G9"/>
    <mergeCell ref="BD4:BF4"/>
    <mergeCell ref="BP3:BR3"/>
    <mergeCell ref="AC4:AE4"/>
    <mergeCell ref="AF4:AH4"/>
    <mergeCell ref="AI4:AK4"/>
    <mergeCell ref="AL4:AN4"/>
    <mergeCell ref="AX3:AZ3"/>
    <mergeCell ref="BA3:BC3"/>
    <mergeCell ref="BD3:BF3"/>
    <mergeCell ref="BG3:BI3"/>
    <mergeCell ref="BJ3:BL3"/>
    <mergeCell ref="BM3:BO3"/>
    <mergeCell ref="BG4:BI4"/>
    <mergeCell ref="BJ4:BL4"/>
    <mergeCell ref="BM4:BO4"/>
    <mergeCell ref="BP4:BR4"/>
    <mergeCell ref="BA4:BC4"/>
    <mergeCell ref="A3:A4"/>
    <mergeCell ref="B3:B4"/>
    <mergeCell ref="C3:C4"/>
    <mergeCell ref="D3:D4"/>
    <mergeCell ref="E3:E4"/>
    <mergeCell ref="H3:H4"/>
    <mergeCell ref="I3:I4"/>
    <mergeCell ref="J3:J4"/>
    <mergeCell ref="F3:F4"/>
    <mergeCell ref="AO4:AQ4"/>
    <mergeCell ref="G3:G4"/>
    <mergeCell ref="AU3:AW3"/>
    <mergeCell ref="AC3:AE3"/>
    <mergeCell ref="AF3:AH3"/>
    <mergeCell ref="AI3:AK3"/>
    <mergeCell ref="AX4:AZ4"/>
    <mergeCell ref="Z3:AB4"/>
    <mergeCell ref="AL3:AN3"/>
    <mergeCell ref="AO3:AQ3"/>
    <mergeCell ref="AR3:AT3"/>
    <mergeCell ref="AR4:AT4"/>
    <mergeCell ref="AU4:AW4"/>
    <mergeCell ref="D7:J7"/>
    <mergeCell ref="Z12:AB12"/>
    <mergeCell ref="A7:A13"/>
    <mergeCell ref="B7:B13"/>
    <mergeCell ref="C7:C13"/>
    <mergeCell ref="D11:J11"/>
    <mergeCell ref="D12:J12"/>
    <mergeCell ref="D13:J13"/>
    <mergeCell ref="T10:V10"/>
    <mergeCell ref="W10:Y10"/>
    <mergeCell ref="Z10:AB10"/>
    <mergeCell ref="Z13:AB13"/>
    <mergeCell ref="K10:M10"/>
    <mergeCell ref="K11:M11"/>
    <mergeCell ref="K12:M12"/>
    <mergeCell ref="F8:F9"/>
    <mergeCell ref="N12:P12"/>
    <mergeCell ref="N11:P11"/>
    <mergeCell ref="K13:M13"/>
    <mergeCell ref="N13:P13"/>
    <mergeCell ref="T12:V12"/>
    <mergeCell ref="Q13:S13"/>
    <mergeCell ref="T13:V13"/>
    <mergeCell ref="W13:Y13"/>
    <mergeCell ref="Q12:S12"/>
    <mergeCell ref="Q11:S11"/>
    <mergeCell ref="T11:V11"/>
    <mergeCell ref="W11:Y11"/>
    <mergeCell ref="W12:Y12"/>
    <mergeCell ref="Z11:AB11"/>
    <mergeCell ref="K3:M4"/>
    <mergeCell ref="N3:P4"/>
    <mergeCell ref="Q3:S4"/>
    <mergeCell ref="T3:V4"/>
    <mergeCell ref="W3:Y4"/>
    <mergeCell ref="K7:M7"/>
    <mergeCell ref="N7:P7"/>
    <mergeCell ref="Q7:S7"/>
    <mergeCell ref="T7:V7"/>
    <mergeCell ref="W7:Y7"/>
    <mergeCell ref="Z7:AB7"/>
    <mergeCell ref="Q10:S10"/>
    <mergeCell ref="N10:P10"/>
  </mergeCells>
  <phoneticPr fontId="10" type="noConversion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F18"/>
  <sheetViews>
    <sheetView workbookViewId="0">
      <selection activeCell="F6" sqref="F6"/>
    </sheetView>
  </sheetViews>
  <sheetFormatPr defaultRowHeight="15"/>
  <cols>
    <col min="2" max="2" width="20" customWidth="1"/>
    <col min="3" max="3" width="1.140625" customWidth="1"/>
    <col min="4" max="4" width="15.85546875" customWidth="1"/>
    <col min="5" max="5" width="2.7109375" customWidth="1"/>
    <col min="6" max="6" width="20" customWidth="1"/>
    <col min="7" max="7" width="3" customWidth="1"/>
  </cols>
  <sheetData>
    <row r="3" spans="2:6">
      <c r="B3" s="3" t="s">
        <v>5</v>
      </c>
      <c r="D3" t="s">
        <v>350</v>
      </c>
      <c r="F3" s="3" t="s">
        <v>374</v>
      </c>
    </row>
    <row r="4" spans="2:6">
      <c r="B4" s="4" t="s">
        <v>6</v>
      </c>
      <c r="D4" t="s">
        <v>344</v>
      </c>
      <c r="F4" s="4" t="s">
        <v>380</v>
      </c>
    </row>
    <row r="5" spans="2:6">
      <c r="B5" s="4" t="s">
        <v>7</v>
      </c>
      <c r="D5" t="s">
        <v>348</v>
      </c>
      <c r="F5" s="4" t="s">
        <v>381</v>
      </c>
    </row>
    <row r="6" spans="2:6">
      <c r="B6" s="4" t="s">
        <v>8</v>
      </c>
      <c r="D6" t="s">
        <v>345</v>
      </c>
      <c r="F6" s="4" t="s">
        <v>377</v>
      </c>
    </row>
    <row r="7" spans="2:6">
      <c r="B7" s="4" t="s">
        <v>9</v>
      </c>
      <c r="D7" t="s">
        <v>346</v>
      </c>
      <c r="F7" s="4" t="s">
        <v>376</v>
      </c>
    </row>
    <row r="8" spans="2:6">
      <c r="B8" s="4" t="s">
        <v>174</v>
      </c>
      <c r="F8" s="4" t="s">
        <v>378</v>
      </c>
    </row>
    <row r="9" spans="2:6">
      <c r="B9" s="41" t="s">
        <v>175</v>
      </c>
      <c r="F9" s="4"/>
    </row>
    <row r="10" spans="2:6">
      <c r="F10" s="4"/>
    </row>
    <row r="11" spans="2:6">
      <c r="F11" s="4"/>
    </row>
    <row r="12" spans="2:6">
      <c r="F12" s="4"/>
    </row>
    <row r="13" spans="2:6">
      <c r="F13" s="4"/>
    </row>
    <row r="14" spans="2:6">
      <c r="F14" s="4"/>
    </row>
    <row r="15" spans="2:6">
      <c r="F15" s="4"/>
    </row>
    <row r="16" spans="2:6">
      <c r="F16" s="4"/>
    </row>
    <row r="17" spans="6:6">
      <c r="F17" s="4"/>
    </row>
    <row r="18" spans="6:6">
      <c r="F18" s="4"/>
    </row>
  </sheetData>
  <phoneticPr fontId="10" type="noConversion"/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L29"/>
  <sheetViews>
    <sheetView showGridLines="0" tabSelected="1" zoomScaleNormal="100" workbookViewId="0">
      <selection activeCell="E16" sqref="E16"/>
    </sheetView>
  </sheetViews>
  <sheetFormatPr defaultRowHeight="15"/>
  <cols>
    <col min="2" max="2" width="30.28515625" customWidth="1"/>
    <col min="3" max="3" width="30.140625" customWidth="1"/>
    <col min="4" max="4" width="2.42578125" customWidth="1"/>
    <col min="5" max="5" width="22.85546875" bestFit="1" customWidth="1"/>
    <col min="6" max="6" width="22.5703125" customWidth="1"/>
    <col min="7" max="7" width="15.7109375" customWidth="1"/>
    <col min="8" max="8" width="23.42578125" customWidth="1"/>
    <col min="12" max="12" width="32.7109375" customWidth="1"/>
  </cols>
  <sheetData>
    <row r="2" spans="2:12" ht="24.75">
      <c r="B2" s="88" t="s">
        <v>364</v>
      </c>
      <c r="C2" s="88"/>
      <c r="D2" s="88"/>
      <c r="E2" s="88" t="s">
        <v>386</v>
      </c>
      <c r="F2" s="88"/>
      <c r="G2" s="88"/>
    </row>
    <row r="4" spans="2:12">
      <c r="B4" s="40" t="s">
        <v>365</v>
      </c>
      <c r="C4" s="48" t="s">
        <v>366</v>
      </c>
      <c r="E4" s="53" t="s">
        <v>25</v>
      </c>
      <c r="F4" s="53" t="s">
        <v>388</v>
      </c>
      <c r="G4" s="53" t="s">
        <v>390</v>
      </c>
      <c r="H4" s="53" t="s">
        <v>389</v>
      </c>
      <c r="L4" t="s">
        <v>391</v>
      </c>
    </row>
    <row r="5" spans="2:12">
      <c r="B5" s="40" t="s">
        <v>367</v>
      </c>
      <c r="C5" s="48" t="s">
        <v>368</v>
      </c>
      <c r="E5" s="39" t="s">
        <v>404</v>
      </c>
      <c r="F5" s="39" t="s">
        <v>387</v>
      </c>
      <c r="G5" s="39" t="s">
        <v>51</v>
      </c>
      <c r="H5" s="39">
        <v>10</v>
      </c>
    </row>
    <row r="6" spans="2:12">
      <c r="B6" s="40" t="s">
        <v>373</v>
      </c>
      <c r="C6" s="48" t="s">
        <v>375</v>
      </c>
      <c r="E6" s="39" t="s">
        <v>392</v>
      </c>
      <c r="F6" s="39" t="s">
        <v>395</v>
      </c>
      <c r="G6" s="39" t="s">
        <v>393</v>
      </c>
      <c r="H6" s="55">
        <v>42856.083333333336</v>
      </c>
      <c r="L6" t="s">
        <v>398</v>
      </c>
    </row>
    <row r="7" spans="2:12">
      <c r="B7" s="40" t="s">
        <v>379</v>
      </c>
      <c r="C7" s="48"/>
      <c r="E7" s="39" t="s">
        <v>394</v>
      </c>
      <c r="F7" s="39" t="s">
        <v>396</v>
      </c>
      <c r="G7" s="39"/>
      <c r="H7" s="39"/>
    </row>
    <row r="8" spans="2:12">
      <c r="B8" s="40" t="s">
        <v>369</v>
      </c>
      <c r="C8" s="48" t="s">
        <v>370</v>
      </c>
      <c r="E8" s="39" t="s">
        <v>397</v>
      </c>
      <c r="F8" s="39"/>
      <c r="G8" s="39"/>
      <c r="H8" s="55">
        <v>42856.999942129631</v>
      </c>
    </row>
    <row r="9" spans="2:12" s="52" customFormat="1" ht="57.75" customHeight="1">
      <c r="B9" s="51" t="s">
        <v>371</v>
      </c>
      <c r="C9" s="49" t="s">
        <v>372</v>
      </c>
      <c r="E9" s="54"/>
      <c r="F9" s="54"/>
      <c r="G9" s="54"/>
      <c r="H9" s="54"/>
    </row>
    <row r="11" spans="2:12">
      <c r="B11" s="40" t="s">
        <v>362</v>
      </c>
      <c r="C11" s="50" t="s">
        <v>363</v>
      </c>
    </row>
    <row r="13" spans="2:12">
      <c r="B13" s="83" t="s">
        <v>170</v>
      </c>
      <c r="C13" s="83"/>
    </row>
    <row r="14" spans="2:12">
      <c r="B14" s="40" t="s">
        <v>25</v>
      </c>
      <c r="C14" s="40" t="s">
        <v>171</v>
      </c>
    </row>
    <row r="15" spans="2:12">
      <c r="B15" s="39" t="s">
        <v>353</v>
      </c>
      <c r="C15" s="39" t="s">
        <v>169</v>
      </c>
    </row>
    <row r="16" spans="2:12">
      <c r="B16" s="39" t="s">
        <v>354</v>
      </c>
      <c r="C16" s="39" t="s">
        <v>172</v>
      </c>
    </row>
    <row r="17" spans="2:3">
      <c r="B17" s="39"/>
      <c r="C17" s="39"/>
    </row>
    <row r="18" spans="2:3">
      <c r="B18" s="39"/>
      <c r="C18" s="39"/>
    </row>
    <row r="19" spans="2:3">
      <c r="B19" s="39"/>
      <c r="C19" s="39"/>
    </row>
    <row r="20" spans="2:3">
      <c r="B20" s="39"/>
      <c r="C20" s="39"/>
    </row>
    <row r="21" spans="2:3">
      <c r="B21" s="39"/>
      <c r="C21" s="39"/>
    </row>
    <row r="22" spans="2:3">
      <c r="B22" s="39"/>
      <c r="C22" s="39"/>
    </row>
    <row r="23" spans="2:3">
      <c r="B23" s="39"/>
      <c r="C23" s="39"/>
    </row>
    <row r="24" spans="2:3">
      <c r="B24" s="39"/>
      <c r="C24" s="39"/>
    </row>
    <row r="26" spans="2:3">
      <c r="B26" s="86" t="s">
        <v>403</v>
      </c>
      <c r="C26" s="87"/>
    </row>
    <row r="27" spans="2:3" ht="94.5" customHeight="1">
      <c r="B27" s="84" t="s">
        <v>173</v>
      </c>
      <c r="C27" s="85"/>
    </row>
    <row r="29" spans="2:3">
      <c r="B29" s="40" t="s">
        <v>382</v>
      </c>
      <c r="C29" s="39" t="s">
        <v>383</v>
      </c>
    </row>
  </sheetData>
  <mergeCells count="5">
    <mergeCell ref="B13:C13"/>
    <mergeCell ref="B27:C27"/>
    <mergeCell ref="B26:C26"/>
    <mergeCell ref="B2:D2"/>
    <mergeCell ref="E2:G2"/>
  </mergeCells>
  <phoneticPr fontId="10" type="noConversion"/>
  <hyperlinks>
    <hyperlink ref="C11" r:id="rId1"/>
  </hyperlinks>
  <pageMargins left="0.7" right="0.7" top="0.75" bottom="0.75" header="0.3" footer="0.3"/>
  <pageSetup orientation="portrait" horizontalDpi="0" verticalDpi="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Dict!$F$4:$F$8</xm:f>
          </x14:formula1>
          <xm:sqref>C6</xm:sqref>
        </x14:dataValidation>
        <x14:dataValidation type="list" allowBlank="1" showInputMessage="1" showErrorMessage="1">
          <x14:formula1>
            <xm:f>Dict!$D$4:$D$8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87"/>
  <sheetViews>
    <sheetView showGridLines="0" workbookViewId="0">
      <pane ySplit="5" topLeftCell="A78" activePane="bottomLeft" state="frozen"/>
      <selection pane="bottomLeft" activeCell="B82" sqref="B82"/>
    </sheetView>
  </sheetViews>
  <sheetFormatPr defaultColWidth="9.140625" defaultRowHeight="15"/>
  <cols>
    <col min="1" max="1" width="4.5703125" style="2" customWidth="1"/>
    <col min="2" max="2" width="13.28515625" style="6" customWidth="1"/>
    <col min="3" max="3" width="39.140625" style="2" customWidth="1"/>
    <col min="4" max="4" width="43.85546875" style="2" customWidth="1"/>
    <col min="5" max="5" width="14" style="2" customWidth="1"/>
    <col min="6" max="6" width="19.28515625" style="2" customWidth="1"/>
    <col min="7" max="7" width="19" style="2" customWidth="1"/>
    <col min="8" max="8" width="74.140625" style="2" customWidth="1"/>
    <col min="9" max="16384" width="9.140625" style="2"/>
  </cols>
  <sheetData>
    <row r="1" spans="1:8" ht="18">
      <c r="B1" s="16" t="s">
        <v>52</v>
      </c>
      <c r="C1" s="17" t="s">
        <v>53</v>
      </c>
    </row>
    <row r="3" spans="1:8" s="6" customFormat="1">
      <c r="A3" s="2"/>
      <c r="B3" s="35" t="s">
        <v>21</v>
      </c>
      <c r="C3" s="35" t="s">
        <v>22</v>
      </c>
      <c r="D3" s="35" t="s">
        <v>23</v>
      </c>
      <c r="E3" s="35" t="s">
        <v>24</v>
      </c>
      <c r="F3" s="35" t="s">
        <v>25</v>
      </c>
      <c r="G3" s="35" t="s">
        <v>26</v>
      </c>
      <c r="H3" s="35" t="s">
        <v>27</v>
      </c>
    </row>
    <row r="4" spans="1:8" hidden="1">
      <c r="B4" s="34" t="s">
        <v>28</v>
      </c>
      <c r="C4" s="9" t="s">
        <v>29</v>
      </c>
      <c r="D4" s="9" t="s">
        <v>30</v>
      </c>
      <c r="E4" s="9" t="s">
        <v>31</v>
      </c>
      <c r="F4" s="9" t="s">
        <v>32</v>
      </c>
      <c r="G4" s="9" t="s">
        <v>33</v>
      </c>
      <c r="H4" s="9" t="s">
        <v>34</v>
      </c>
    </row>
    <row r="5" spans="1:8">
      <c r="B5" s="18">
        <v>2</v>
      </c>
      <c r="C5" s="18">
        <f t="shared" ref="C5:H5" si="0">B5+1</f>
        <v>3</v>
      </c>
      <c r="D5" s="18">
        <f t="shared" si="0"/>
        <v>4</v>
      </c>
      <c r="E5" s="18">
        <f t="shared" si="0"/>
        <v>5</v>
      </c>
      <c r="F5" s="18">
        <f t="shared" si="0"/>
        <v>6</v>
      </c>
      <c r="G5" s="18">
        <f t="shared" si="0"/>
        <v>7</v>
      </c>
      <c r="H5" s="18">
        <f t="shared" si="0"/>
        <v>8</v>
      </c>
    </row>
    <row r="6" spans="1:8" ht="16.5">
      <c r="B6" s="80" t="s">
        <v>176</v>
      </c>
      <c r="C6" s="80" t="s">
        <v>177</v>
      </c>
      <c r="D6" s="80" t="s">
        <v>178</v>
      </c>
      <c r="E6" s="80" t="s">
        <v>35</v>
      </c>
      <c r="F6" s="9" t="s">
        <v>36</v>
      </c>
      <c r="G6" s="9" t="s">
        <v>37</v>
      </c>
      <c r="H6" s="11" t="s">
        <v>38</v>
      </c>
    </row>
    <row r="7" spans="1:8" ht="16.5">
      <c r="B7" s="81"/>
      <c r="C7" s="81"/>
      <c r="D7" s="81"/>
      <c r="E7" s="81"/>
      <c r="F7" s="9" t="s">
        <v>39</v>
      </c>
      <c r="G7" s="9" t="s">
        <v>37</v>
      </c>
      <c r="H7" s="11" t="s">
        <v>40</v>
      </c>
    </row>
    <row r="8" spans="1:8" ht="16.5">
      <c r="B8" s="81"/>
      <c r="C8" s="81"/>
      <c r="D8" s="81"/>
      <c r="E8" s="81"/>
      <c r="F8" s="9" t="s">
        <v>41</v>
      </c>
      <c r="G8" s="9" t="s">
        <v>42</v>
      </c>
      <c r="H8" s="11" t="s">
        <v>43</v>
      </c>
    </row>
    <row r="9" spans="1:8" ht="16.5">
      <c r="B9" s="81"/>
      <c r="C9" s="81"/>
      <c r="D9" s="81"/>
      <c r="E9" s="81"/>
      <c r="F9" s="9" t="s">
        <v>44</v>
      </c>
      <c r="G9" s="9" t="s">
        <v>45</v>
      </c>
      <c r="H9" s="11" t="s">
        <v>46</v>
      </c>
    </row>
    <row r="10" spans="1:8" ht="16.5">
      <c r="B10" s="81"/>
      <c r="C10" s="81"/>
      <c r="D10" s="81"/>
      <c r="E10" s="81"/>
      <c r="F10" s="9" t="s">
        <v>47</v>
      </c>
      <c r="G10" s="9" t="s">
        <v>37</v>
      </c>
      <c r="H10" s="11" t="s">
        <v>48</v>
      </c>
    </row>
    <row r="11" spans="1:8" ht="16.5">
      <c r="B11" s="82"/>
      <c r="C11" s="82"/>
      <c r="D11" s="82"/>
      <c r="E11" s="82"/>
      <c r="F11" s="9" t="s">
        <v>49</v>
      </c>
      <c r="G11" s="9" t="s">
        <v>37</v>
      </c>
      <c r="H11" s="11" t="s">
        <v>50</v>
      </c>
    </row>
    <row r="12" spans="1:8" ht="16.5">
      <c r="B12" s="80" t="s">
        <v>179</v>
      </c>
      <c r="C12" s="80" t="s">
        <v>180</v>
      </c>
      <c r="D12" s="80" t="s">
        <v>181</v>
      </c>
      <c r="E12" s="80" t="s">
        <v>35</v>
      </c>
      <c r="F12" s="9" t="s">
        <v>182</v>
      </c>
      <c r="G12" s="9" t="s">
        <v>51</v>
      </c>
      <c r="H12" s="11" t="s">
        <v>183</v>
      </c>
    </row>
    <row r="13" spans="1:8" ht="16.5">
      <c r="B13" s="81"/>
      <c r="C13" s="81"/>
      <c r="D13" s="81"/>
      <c r="E13" s="81"/>
      <c r="F13" s="9" t="s">
        <v>41</v>
      </c>
      <c r="G13" s="9" t="s">
        <v>45</v>
      </c>
      <c r="H13" s="11" t="s">
        <v>43</v>
      </c>
    </row>
    <row r="14" spans="1:8" ht="16.5">
      <c r="B14" s="81"/>
      <c r="C14" s="81"/>
      <c r="D14" s="81"/>
      <c r="E14" s="81"/>
      <c r="F14" s="9" t="s">
        <v>44</v>
      </c>
      <c r="G14" s="9" t="s">
        <v>45</v>
      </c>
      <c r="H14" s="11" t="s">
        <v>46</v>
      </c>
    </row>
    <row r="15" spans="1:8" ht="16.5">
      <c r="B15" s="82"/>
      <c r="C15" s="82"/>
      <c r="D15" s="82"/>
      <c r="E15" s="82"/>
      <c r="F15" s="9" t="s">
        <v>47</v>
      </c>
      <c r="G15" s="9" t="s">
        <v>37</v>
      </c>
      <c r="H15" s="11" t="s">
        <v>48</v>
      </c>
    </row>
    <row r="16" spans="1:8" ht="16.5">
      <c r="B16" s="80" t="s">
        <v>184</v>
      </c>
      <c r="C16" s="80" t="s">
        <v>185</v>
      </c>
      <c r="D16" s="80" t="s">
        <v>186</v>
      </c>
      <c r="E16" s="80" t="s">
        <v>35</v>
      </c>
      <c r="F16" s="9" t="s">
        <v>187</v>
      </c>
      <c r="G16" s="9" t="s">
        <v>37</v>
      </c>
      <c r="H16" s="11" t="s">
        <v>188</v>
      </c>
    </row>
    <row r="17" spans="2:8" ht="16.5">
      <c r="B17" s="81"/>
      <c r="C17" s="81"/>
      <c r="D17" s="81"/>
      <c r="E17" s="81"/>
      <c r="F17" s="9" t="s">
        <v>189</v>
      </c>
      <c r="G17" s="9" t="s">
        <v>37</v>
      </c>
      <c r="H17" s="11" t="s">
        <v>190</v>
      </c>
    </row>
    <row r="18" spans="2:8" ht="16.5">
      <c r="B18" s="81"/>
      <c r="C18" s="81"/>
      <c r="D18" s="81"/>
      <c r="E18" s="81"/>
      <c r="F18" s="9" t="s">
        <v>191</v>
      </c>
      <c r="G18" s="9" t="s">
        <v>192</v>
      </c>
      <c r="H18" s="11" t="s">
        <v>193</v>
      </c>
    </row>
    <row r="19" spans="2:8" ht="16.5">
      <c r="B19" s="81"/>
      <c r="C19" s="81"/>
      <c r="D19" s="81"/>
      <c r="E19" s="81"/>
      <c r="F19" s="9" t="s">
        <v>194</v>
      </c>
      <c r="G19" s="9" t="s">
        <v>37</v>
      </c>
      <c r="H19" s="11" t="s">
        <v>195</v>
      </c>
    </row>
    <row r="20" spans="2:8" ht="16.5">
      <c r="B20" s="81"/>
      <c r="C20" s="81"/>
      <c r="D20" s="81"/>
      <c r="E20" s="81"/>
      <c r="F20" s="9" t="s">
        <v>196</v>
      </c>
      <c r="G20" s="9" t="s">
        <v>37</v>
      </c>
      <c r="H20" s="11" t="s">
        <v>197</v>
      </c>
    </row>
    <row r="21" spans="2:8" ht="16.5">
      <c r="B21" s="81"/>
      <c r="C21" s="81"/>
      <c r="D21" s="81"/>
      <c r="E21" s="81"/>
      <c r="F21" s="9" t="s">
        <v>198</v>
      </c>
      <c r="G21" s="9" t="s">
        <v>37</v>
      </c>
      <c r="H21" s="11" t="s">
        <v>199</v>
      </c>
    </row>
    <row r="22" spans="2:8" ht="16.5">
      <c r="B22" s="81"/>
      <c r="C22" s="81"/>
      <c r="D22" s="81"/>
      <c r="E22" s="81"/>
      <c r="F22" s="9" t="s">
        <v>200</v>
      </c>
      <c r="G22" s="9" t="s">
        <v>37</v>
      </c>
      <c r="H22" s="11" t="s">
        <v>201</v>
      </c>
    </row>
    <row r="23" spans="2:8" ht="16.5">
      <c r="B23" s="81"/>
      <c r="C23" s="81"/>
      <c r="D23" s="81"/>
      <c r="E23" s="81"/>
      <c r="F23" s="9" t="s">
        <v>202</v>
      </c>
      <c r="G23" s="9" t="s">
        <v>37</v>
      </c>
      <c r="H23" s="11" t="s">
        <v>203</v>
      </c>
    </row>
    <row r="24" spans="2:8" ht="16.5">
      <c r="B24" s="81"/>
      <c r="C24" s="81"/>
      <c r="D24" s="81"/>
      <c r="E24" s="81"/>
      <c r="F24" s="9" t="s">
        <v>204</v>
      </c>
      <c r="G24" s="9" t="s">
        <v>37</v>
      </c>
      <c r="H24" s="11" t="s">
        <v>205</v>
      </c>
    </row>
    <row r="25" spans="2:8" ht="16.5">
      <c r="B25" s="81"/>
      <c r="C25" s="81"/>
      <c r="D25" s="81"/>
      <c r="E25" s="81"/>
      <c r="F25" s="9" t="s">
        <v>206</v>
      </c>
      <c r="G25" s="9" t="s">
        <v>37</v>
      </c>
      <c r="H25" s="11" t="s">
        <v>207</v>
      </c>
    </row>
    <row r="26" spans="2:8" ht="16.5">
      <c r="B26" s="81"/>
      <c r="C26" s="81"/>
      <c r="D26" s="81"/>
      <c r="E26" s="81"/>
      <c r="F26" s="9" t="s">
        <v>208</v>
      </c>
      <c r="G26" s="9" t="s">
        <v>37</v>
      </c>
      <c r="H26" s="11" t="s">
        <v>209</v>
      </c>
    </row>
    <row r="27" spans="2:8" ht="16.5">
      <c r="B27" s="82"/>
      <c r="C27" s="82"/>
      <c r="D27" s="82"/>
      <c r="E27" s="82"/>
      <c r="F27" s="9" t="s">
        <v>47</v>
      </c>
      <c r="G27" s="9" t="s">
        <v>37</v>
      </c>
      <c r="H27" s="11" t="s">
        <v>48</v>
      </c>
    </row>
    <row r="28" spans="2:8" ht="16.5">
      <c r="B28" s="74" t="s">
        <v>210</v>
      </c>
      <c r="C28" s="74" t="s">
        <v>211</v>
      </c>
      <c r="D28" s="74" t="s">
        <v>212</v>
      </c>
      <c r="E28" s="74" t="s">
        <v>35</v>
      </c>
      <c r="F28" s="9" t="s">
        <v>213</v>
      </c>
      <c r="G28" s="9" t="s">
        <v>214</v>
      </c>
      <c r="H28" s="11" t="s">
        <v>215</v>
      </c>
    </row>
    <row r="29" spans="2:8" ht="16.5">
      <c r="B29" s="74"/>
      <c r="C29" s="74"/>
      <c r="D29" s="74"/>
      <c r="E29" s="74"/>
      <c r="F29" s="9" t="s">
        <v>216</v>
      </c>
      <c r="G29" s="9" t="s">
        <v>192</v>
      </c>
      <c r="H29" s="11" t="s">
        <v>217</v>
      </c>
    </row>
    <row r="30" spans="2:8" ht="16.5">
      <c r="B30" s="74"/>
      <c r="C30" s="74"/>
      <c r="D30" s="74"/>
      <c r="E30" s="74"/>
      <c r="F30" s="9" t="s">
        <v>47</v>
      </c>
      <c r="G30" s="9" t="s">
        <v>192</v>
      </c>
      <c r="H30" s="11" t="s">
        <v>48</v>
      </c>
    </row>
    <row r="31" spans="2:8" ht="16.5">
      <c r="B31" s="74" t="s">
        <v>218</v>
      </c>
      <c r="C31" s="74" t="s">
        <v>219</v>
      </c>
      <c r="D31" s="74" t="s">
        <v>220</v>
      </c>
      <c r="E31" s="74" t="s">
        <v>35</v>
      </c>
      <c r="F31" s="9" t="s">
        <v>213</v>
      </c>
      <c r="G31" s="9" t="s">
        <v>214</v>
      </c>
      <c r="H31" s="11" t="s">
        <v>215</v>
      </c>
    </row>
    <row r="32" spans="2:8" ht="16.5">
      <c r="B32" s="74"/>
      <c r="C32" s="74"/>
      <c r="D32" s="74"/>
      <c r="E32" s="74"/>
      <c r="F32" s="9" t="s">
        <v>47</v>
      </c>
      <c r="G32" s="9" t="s">
        <v>192</v>
      </c>
      <c r="H32" s="11" t="s">
        <v>48</v>
      </c>
    </row>
    <row r="33" spans="2:8">
      <c r="B33" s="80" t="s">
        <v>221</v>
      </c>
      <c r="C33" s="80" t="s">
        <v>222</v>
      </c>
      <c r="D33" s="80" t="s">
        <v>223</v>
      </c>
      <c r="E33" s="80" t="s">
        <v>35</v>
      </c>
      <c r="F33" s="9" t="s">
        <v>224</v>
      </c>
      <c r="G33" s="9" t="s">
        <v>192</v>
      </c>
      <c r="H33" s="9" t="s">
        <v>225</v>
      </c>
    </row>
    <row r="34" spans="2:8">
      <c r="B34" s="81"/>
      <c r="C34" s="81"/>
      <c r="D34" s="81"/>
      <c r="E34" s="81"/>
      <c r="F34" s="9" t="s">
        <v>216</v>
      </c>
      <c r="G34" s="9" t="s">
        <v>192</v>
      </c>
      <c r="H34" s="9" t="s">
        <v>226</v>
      </c>
    </row>
    <row r="35" spans="2:8">
      <c r="B35" s="81"/>
      <c r="C35" s="81"/>
      <c r="D35" s="81"/>
      <c r="E35" s="81"/>
      <c r="F35" s="9" t="s">
        <v>41</v>
      </c>
      <c r="G35" s="9" t="s">
        <v>45</v>
      </c>
      <c r="H35" s="9" t="s">
        <v>227</v>
      </c>
    </row>
    <row r="36" spans="2:8">
      <c r="B36" s="81"/>
      <c r="C36" s="81"/>
      <c r="D36" s="81"/>
      <c r="E36" s="81"/>
      <c r="F36" s="9" t="s">
        <v>44</v>
      </c>
      <c r="G36" s="9" t="s">
        <v>45</v>
      </c>
      <c r="H36" s="9" t="s">
        <v>228</v>
      </c>
    </row>
    <row r="37" spans="2:8">
      <c r="B37" s="82"/>
      <c r="C37" s="82"/>
      <c r="D37" s="82"/>
      <c r="E37" s="82"/>
      <c r="F37" s="9" t="s">
        <v>47</v>
      </c>
      <c r="G37" s="9" t="s">
        <v>192</v>
      </c>
      <c r="H37" s="9" t="s">
        <v>48</v>
      </c>
    </row>
    <row r="38" spans="2:8">
      <c r="B38" s="80" t="s">
        <v>229</v>
      </c>
      <c r="C38" s="80" t="s">
        <v>230</v>
      </c>
      <c r="D38" s="80" t="s">
        <v>231</v>
      </c>
      <c r="E38" s="80" t="s">
        <v>35</v>
      </c>
      <c r="F38" s="9" t="s">
        <v>213</v>
      </c>
      <c r="G38" s="9" t="s">
        <v>51</v>
      </c>
      <c r="H38" s="9" t="s">
        <v>215</v>
      </c>
    </row>
    <row r="39" spans="2:8">
      <c r="B39" s="81"/>
      <c r="C39" s="81"/>
      <c r="D39" s="81"/>
      <c r="E39" s="81"/>
      <c r="F39" s="9" t="s">
        <v>232</v>
      </c>
      <c r="G39" s="9" t="s">
        <v>37</v>
      </c>
      <c r="H39" s="9" t="s">
        <v>233</v>
      </c>
    </row>
    <row r="40" spans="2:8">
      <c r="B40" s="81"/>
      <c r="C40" s="81"/>
      <c r="D40" s="81"/>
      <c r="E40" s="81"/>
      <c r="F40" s="9" t="s">
        <v>234</v>
      </c>
      <c r="G40" s="9" t="s">
        <v>37</v>
      </c>
      <c r="H40" s="9" t="s">
        <v>235</v>
      </c>
    </row>
    <row r="41" spans="2:8">
      <c r="B41" s="81"/>
      <c r="C41" s="81"/>
      <c r="D41" s="81"/>
      <c r="E41" s="81"/>
      <c r="F41" s="9" t="s">
        <v>236</v>
      </c>
      <c r="G41" s="9" t="s">
        <v>37</v>
      </c>
      <c r="H41" s="9" t="s">
        <v>199</v>
      </c>
    </row>
    <row r="42" spans="2:8">
      <c r="B42" s="81"/>
      <c r="C42" s="81"/>
      <c r="D42" s="81"/>
      <c r="E42" s="81"/>
      <c r="F42" s="9" t="s">
        <v>237</v>
      </c>
      <c r="G42" s="9" t="s">
        <v>37</v>
      </c>
      <c r="H42" s="9" t="s">
        <v>201</v>
      </c>
    </row>
    <row r="43" spans="2:8">
      <c r="B43" s="81"/>
      <c r="C43" s="81"/>
      <c r="D43" s="81"/>
      <c r="E43" s="81"/>
      <c r="F43" s="9" t="s">
        <v>238</v>
      </c>
      <c r="G43" s="9" t="s">
        <v>37</v>
      </c>
      <c r="H43" s="9" t="s">
        <v>203</v>
      </c>
    </row>
    <row r="44" spans="2:8">
      <c r="B44" s="81"/>
      <c r="C44" s="81"/>
      <c r="D44" s="81"/>
      <c r="E44" s="81"/>
      <c r="F44" s="9" t="s">
        <v>239</v>
      </c>
      <c r="G44" s="9" t="s">
        <v>37</v>
      </c>
      <c r="H44" s="9" t="s">
        <v>240</v>
      </c>
    </row>
    <row r="45" spans="2:8">
      <c r="B45" s="81"/>
      <c r="C45" s="81"/>
      <c r="D45" s="81"/>
      <c r="E45" s="81"/>
      <c r="F45" s="9" t="s">
        <v>241</v>
      </c>
      <c r="G45" s="9" t="s">
        <v>37</v>
      </c>
      <c r="H45" s="9" t="s">
        <v>242</v>
      </c>
    </row>
    <row r="46" spans="2:8">
      <c r="B46" s="82"/>
      <c r="C46" s="82"/>
      <c r="D46" s="82"/>
      <c r="E46" s="82"/>
      <c r="F46" s="9" t="s">
        <v>47</v>
      </c>
      <c r="G46" s="9" t="s">
        <v>37</v>
      </c>
      <c r="H46" s="9" t="s">
        <v>48</v>
      </c>
    </row>
    <row r="47" spans="2:8">
      <c r="B47" s="80" t="s">
        <v>243</v>
      </c>
      <c r="C47" s="80" t="s">
        <v>244</v>
      </c>
      <c r="D47" s="80" t="s">
        <v>245</v>
      </c>
      <c r="E47" s="80" t="s">
        <v>35</v>
      </c>
      <c r="F47" s="9" t="s">
        <v>213</v>
      </c>
      <c r="G47" s="9" t="s">
        <v>51</v>
      </c>
      <c r="H47" s="9" t="s">
        <v>215</v>
      </c>
    </row>
    <row r="48" spans="2:8">
      <c r="B48" s="81"/>
      <c r="C48" s="81"/>
      <c r="D48" s="81"/>
      <c r="E48" s="81"/>
      <c r="F48" s="9" t="s">
        <v>182</v>
      </c>
      <c r="G48" s="9" t="s">
        <v>214</v>
      </c>
      <c r="H48" s="9" t="s">
        <v>40</v>
      </c>
    </row>
    <row r="49" spans="2:8">
      <c r="B49" s="81"/>
      <c r="C49" s="81"/>
      <c r="D49" s="81"/>
      <c r="E49" s="81"/>
      <c r="F49" s="9" t="s">
        <v>246</v>
      </c>
      <c r="G49" s="9" t="s">
        <v>192</v>
      </c>
      <c r="H49" s="9" t="s">
        <v>207</v>
      </c>
    </row>
    <row r="50" spans="2:8">
      <c r="B50" s="82"/>
      <c r="C50" s="82"/>
      <c r="D50" s="82"/>
      <c r="E50" s="82"/>
      <c r="F50" s="9" t="s">
        <v>47</v>
      </c>
      <c r="G50" s="9" t="s">
        <v>192</v>
      </c>
      <c r="H50" s="9" t="s">
        <v>48</v>
      </c>
    </row>
    <row r="51" spans="2:8">
      <c r="B51" s="80" t="s">
        <v>247</v>
      </c>
      <c r="C51" s="80" t="s">
        <v>248</v>
      </c>
      <c r="D51" s="80" t="s">
        <v>249</v>
      </c>
      <c r="E51" s="80" t="s">
        <v>35</v>
      </c>
      <c r="F51" s="9" t="s">
        <v>250</v>
      </c>
      <c r="G51" s="9" t="s">
        <v>37</v>
      </c>
      <c r="H51" s="9" t="s">
        <v>251</v>
      </c>
    </row>
    <row r="52" spans="2:8">
      <c r="B52" s="82"/>
      <c r="C52" s="82"/>
      <c r="D52" s="82"/>
      <c r="E52" s="82"/>
      <c r="F52" s="9" t="s">
        <v>47</v>
      </c>
      <c r="G52" s="9" t="s">
        <v>192</v>
      </c>
      <c r="H52" s="9" t="s">
        <v>48</v>
      </c>
    </row>
    <row r="53" spans="2:8">
      <c r="B53" s="80" t="s">
        <v>252</v>
      </c>
      <c r="C53" s="80" t="s">
        <v>253</v>
      </c>
      <c r="D53" s="80" t="s">
        <v>254</v>
      </c>
      <c r="E53" s="80" t="s">
        <v>35</v>
      </c>
      <c r="F53" s="9" t="s">
        <v>255</v>
      </c>
      <c r="G53" s="9" t="s">
        <v>37</v>
      </c>
      <c r="H53" s="9" t="s">
        <v>256</v>
      </c>
    </row>
    <row r="54" spans="2:8">
      <c r="B54" s="81"/>
      <c r="C54" s="81"/>
      <c r="D54" s="81"/>
      <c r="E54" s="81"/>
      <c r="F54" s="9" t="s">
        <v>257</v>
      </c>
      <c r="G54" s="9" t="s">
        <v>37</v>
      </c>
      <c r="H54" s="9" t="s">
        <v>258</v>
      </c>
    </row>
    <row r="55" spans="2:8">
      <c r="B55" s="82"/>
      <c r="C55" s="82"/>
      <c r="D55" s="82"/>
      <c r="E55" s="82"/>
      <c r="F55" s="9" t="s">
        <v>47</v>
      </c>
      <c r="G55" s="9" t="s">
        <v>192</v>
      </c>
      <c r="H55" s="9" t="s">
        <v>48</v>
      </c>
    </row>
    <row r="56" spans="2:8">
      <c r="B56" s="80" t="s">
        <v>259</v>
      </c>
      <c r="C56" s="80" t="s">
        <v>260</v>
      </c>
      <c r="D56" s="80" t="s">
        <v>261</v>
      </c>
      <c r="E56" s="80" t="s">
        <v>35</v>
      </c>
      <c r="F56" s="9" t="s">
        <v>262</v>
      </c>
      <c r="G56" s="9" t="s">
        <v>37</v>
      </c>
      <c r="H56" s="9" t="s">
        <v>263</v>
      </c>
    </row>
    <row r="57" spans="2:8">
      <c r="B57" s="81"/>
      <c r="C57" s="81"/>
      <c r="D57" s="81"/>
      <c r="E57" s="81"/>
      <c r="F57" s="9" t="s">
        <v>187</v>
      </c>
      <c r="G57" s="9" t="s">
        <v>37</v>
      </c>
      <c r="H57" s="9" t="s">
        <v>264</v>
      </c>
    </row>
    <row r="58" spans="2:8">
      <c r="B58" s="81"/>
      <c r="C58" s="81"/>
      <c r="D58" s="81"/>
      <c r="E58" s="81"/>
      <c r="F58" s="9" t="s">
        <v>265</v>
      </c>
      <c r="G58" s="9" t="s">
        <v>37</v>
      </c>
      <c r="H58" s="9" t="s">
        <v>266</v>
      </c>
    </row>
    <row r="59" spans="2:8">
      <c r="B59" s="82"/>
      <c r="C59" s="82"/>
      <c r="D59" s="82"/>
      <c r="E59" s="82"/>
      <c r="F59" s="9" t="s">
        <v>47</v>
      </c>
      <c r="G59" s="9" t="s">
        <v>192</v>
      </c>
      <c r="H59" s="9" t="s">
        <v>48</v>
      </c>
    </row>
    <row r="60" spans="2:8">
      <c r="B60" s="80" t="s">
        <v>267</v>
      </c>
      <c r="C60" s="80" t="s">
        <v>268</v>
      </c>
      <c r="D60" s="80" t="s">
        <v>269</v>
      </c>
      <c r="E60" s="80" t="s">
        <v>35</v>
      </c>
      <c r="F60" s="9" t="s">
        <v>270</v>
      </c>
      <c r="G60" s="9" t="s">
        <v>51</v>
      </c>
      <c r="H60" s="9" t="s">
        <v>271</v>
      </c>
    </row>
    <row r="61" spans="2:8">
      <c r="B61" s="81"/>
      <c r="C61" s="81"/>
      <c r="D61" s="81"/>
      <c r="E61" s="81"/>
      <c r="F61" s="9" t="s">
        <v>272</v>
      </c>
      <c r="G61" s="9" t="s">
        <v>51</v>
      </c>
      <c r="H61" s="9" t="s">
        <v>273</v>
      </c>
    </row>
    <row r="62" spans="2:8">
      <c r="B62" s="81"/>
      <c r="C62" s="81"/>
      <c r="D62" s="81"/>
      <c r="E62" s="81"/>
      <c r="F62" s="9" t="s">
        <v>189</v>
      </c>
      <c r="G62" s="9" t="s">
        <v>37</v>
      </c>
      <c r="H62" s="9" t="s">
        <v>190</v>
      </c>
    </row>
    <row r="63" spans="2:8">
      <c r="B63" s="81"/>
      <c r="C63" s="81"/>
      <c r="D63" s="81"/>
      <c r="E63" s="81"/>
      <c r="F63" s="9" t="s">
        <v>191</v>
      </c>
      <c r="G63" s="9" t="s">
        <v>37</v>
      </c>
      <c r="H63" s="9" t="s">
        <v>193</v>
      </c>
    </row>
    <row r="64" spans="2:8">
      <c r="B64" s="81"/>
      <c r="C64" s="81"/>
      <c r="D64" s="81"/>
      <c r="E64" s="81"/>
      <c r="F64" s="9" t="s">
        <v>194</v>
      </c>
      <c r="G64" s="9" t="s">
        <v>37</v>
      </c>
      <c r="H64" s="9" t="s">
        <v>195</v>
      </c>
    </row>
    <row r="65" spans="2:8">
      <c r="B65" s="81"/>
      <c r="C65" s="81"/>
      <c r="D65" s="81"/>
      <c r="E65" s="81"/>
      <c r="F65" s="9" t="s">
        <v>196</v>
      </c>
      <c r="G65" s="9" t="s">
        <v>37</v>
      </c>
      <c r="H65" s="9" t="s">
        <v>197</v>
      </c>
    </row>
    <row r="66" spans="2:8">
      <c r="B66" s="81"/>
      <c r="C66" s="81"/>
      <c r="D66" s="81"/>
      <c r="E66" s="81"/>
      <c r="F66" s="9" t="s">
        <v>198</v>
      </c>
      <c r="G66" s="9" t="s">
        <v>37</v>
      </c>
      <c r="H66" s="9" t="s">
        <v>199</v>
      </c>
    </row>
    <row r="67" spans="2:8">
      <c r="B67" s="81"/>
      <c r="C67" s="81"/>
      <c r="D67" s="81"/>
      <c r="E67" s="81"/>
      <c r="F67" s="9" t="s">
        <v>200</v>
      </c>
      <c r="G67" s="9" t="s">
        <v>37</v>
      </c>
      <c r="H67" s="9" t="s">
        <v>201</v>
      </c>
    </row>
    <row r="68" spans="2:8">
      <c r="B68" s="81"/>
      <c r="C68" s="81"/>
      <c r="D68" s="81"/>
      <c r="E68" s="81"/>
      <c r="F68" s="9" t="s">
        <v>202</v>
      </c>
      <c r="G68" s="9" t="s">
        <v>37</v>
      </c>
      <c r="H68" s="9" t="s">
        <v>203</v>
      </c>
    </row>
    <row r="69" spans="2:8">
      <c r="B69" s="81"/>
      <c r="C69" s="81"/>
      <c r="D69" s="81"/>
      <c r="E69" s="81"/>
      <c r="F69" s="9" t="s">
        <v>204</v>
      </c>
      <c r="G69" s="9" t="s">
        <v>37</v>
      </c>
      <c r="H69" s="9" t="s">
        <v>258</v>
      </c>
    </row>
    <row r="70" spans="2:8">
      <c r="B70" s="81"/>
      <c r="C70" s="81"/>
      <c r="D70" s="81"/>
      <c r="E70" s="81"/>
      <c r="F70" s="9" t="s">
        <v>206</v>
      </c>
      <c r="G70" s="9" t="s">
        <v>37</v>
      </c>
      <c r="H70" s="9" t="s">
        <v>207</v>
      </c>
    </row>
    <row r="71" spans="2:8">
      <c r="B71" s="82"/>
      <c r="C71" s="82"/>
      <c r="D71" s="82"/>
      <c r="E71" s="82"/>
      <c r="F71" s="9" t="s">
        <v>47</v>
      </c>
      <c r="G71" s="9" t="s">
        <v>37</v>
      </c>
      <c r="H71" s="9" t="s">
        <v>48</v>
      </c>
    </row>
    <row r="72" spans="2:8">
      <c r="B72" s="80" t="s">
        <v>274</v>
      </c>
      <c r="C72" s="80" t="s">
        <v>275</v>
      </c>
      <c r="D72" s="80" t="s">
        <v>276</v>
      </c>
      <c r="E72" s="80" t="s">
        <v>35</v>
      </c>
      <c r="F72" s="9" t="s">
        <v>272</v>
      </c>
      <c r="G72" s="9" t="s">
        <v>51</v>
      </c>
      <c r="H72" s="9" t="s">
        <v>277</v>
      </c>
    </row>
    <row r="73" spans="2:8">
      <c r="B73" s="81"/>
      <c r="C73" s="81"/>
      <c r="D73" s="81"/>
      <c r="E73" s="81"/>
      <c r="F73" s="9" t="s">
        <v>206</v>
      </c>
      <c r="G73" s="9" t="s">
        <v>37</v>
      </c>
      <c r="H73" s="9" t="s">
        <v>278</v>
      </c>
    </row>
    <row r="74" spans="2:8">
      <c r="B74" s="82"/>
      <c r="C74" s="82"/>
      <c r="D74" s="82"/>
      <c r="E74" s="82"/>
      <c r="F74" s="9" t="s">
        <v>47</v>
      </c>
      <c r="G74" s="9" t="s">
        <v>192</v>
      </c>
      <c r="H74" s="9" t="s">
        <v>48</v>
      </c>
    </row>
    <row r="75" spans="2:8">
      <c r="B75" s="37" t="s">
        <v>279</v>
      </c>
      <c r="C75" s="37" t="s">
        <v>280</v>
      </c>
      <c r="D75" s="37" t="s">
        <v>281</v>
      </c>
      <c r="E75" s="37" t="s">
        <v>35</v>
      </c>
      <c r="F75" s="9" t="s">
        <v>47</v>
      </c>
      <c r="G75" s="9" t="s">
        <v>192</v>
      </c>
      <c r="H75" s="9" t="s">
        <v>48</v>
      </c>
    </row>
    <row r="76" spans="2:8">
      <c r="B76" s="80" t="s">
        <v>282</v>
      </c>
      <c r="C76" s="80" t="s">
        <v>283</v>
      </c>
      <c r="D76" s="80" t="s">
        <v>284</v>
      </c>
      <c r="E76" s="80" t="s">
        <v>35</v>
      </c>
      <c r="F76" s="9" t="s">
        <v>285</v>
      </c>
      <c r="G76" s="9" t="s">
        <v>37</v>
      </c>
      <c r="H76" s="9" t="s">
        <v>286</v>
      </c>
    </row>
    <row r="77" spans="2:8">
      <c r="B77" s="81"/>
      <c r="C77" s="81"/>
      <c r="D77" s="81"/>
      <c r="E77" s="81"/>
      <c r="F77" s="9" t="s">
        <v>287</v>
      </c>
      <c r="G77" s="9" t="s">
        <v>37</v>
      </c>
      <c r="H77" s="9" t="s">
        <v>288</v>
      </c>
    </row>
    <row r="78" spans="2:8">
      <c r="B78" s="82"/>
      <c r="C78" s="82"/>
      <c r="D78" s="82"/>
      <c r="E78" s="82"/>
      <c r="F78" s="9" t="s">
        <v>47</v>
      </c>
      <c r="G78" s="9" t="s">
        <v>192</v>
      </c>
      <c r="H78" s="9" t="s">
        <v>48</v>
      </c>
    </row>
    <row r="79" spans="2:8">
      <c r="B79" s="80" t="s">
        <v>289</v>
      </c>
      <c r="C79" s="80" t="s">
        <v>290</v>
      </c>
      <c r="D79" s="80" t="s">
        <v>291</v>
      </c>
      <c r="E79" s="80" t="s">
        <v>35</v>
      </c>
      <c r="F79" s="9" t="s">
        <v>285</v>
      </c>
      <c r="G79" s="9" t="s">
        <v>37</v>
      </c>
      <c r="H79" s="9" t="s">
        <v>292</v>
      </c>
    </row>
    <row r="80" spans="2:8">
      <c r="B80" s="82"/>
      <c r="C80" s="82"/>
      <c r="D80" s="82"/>
      <c r="E80" s="82"/>
      <c r="F80" s="9" t="s">
        <v>47</v>
      </c>
      <c r="G80" s="9" t="s">
        <v>192</v>
      </c>
      <c r="H80" s="9" t="s">
        <v>48</v>
      </c>
    </row>
    <row r="81" spans="2:8">
      <c r="B81" s="37" t="s">
        <v>293</v>
      </c>
      <c r="C81" s="37" t="s">
        <v>294</v>
      </c>
      <c r="D81" s="37" t="s">
        <v>295</v>
      </c>
      <c r="E81" s="37" t="s">
        <v>35</v>
      </c>
      <c r="F81" s="9" t="s">
        <v>296</v>
      </c>
      <c r="G81" s="9" t="s">
        <v>37</v>
      </c>
      <c r="H81" s="9" t="s">
        <v>292</v>
      </c>
    </row>
    <row r="82" spans="2:8">
      <c r="B82" s="37" t="s">
        <v>297</v>
      </c>
      <c r="C82" s="37" t="s">
        <v>298</v>
      </c>
      <c r="D82" s="37" t="s">
        <v>299</v>
      </c>
      <c r="E82" s="37" t="s">
        <v>35</v>
      </c>
      <c r="F82" s="9" t="s">
        <v>47</v>
      </c>
      <c r="G82" s="9" t="s">
        <v>37</v>
      </c>
      <c r="H82" s="9" t="s">
        <v>48</v>
      </c>
    </row>
    <row r="83" spans="2:8">
      <c r="B83" s="80" t="s">
        <v>300</v>
      </c>
      <c r="C83" s="80" t="s">
        <v>301</v>
      </c>
      <c r="D83" s="80" t="s">
        <v>302</v>
      </c>
      <c r="E83" s="80" t="s">
        <v>35</v>
      </c>
      <c r="F83" s="9" t="s">
        <v>303</v>
      </c>
      <c r="G83" s="9" t="s">
        <v>192</v>
      </c>
      <c r="H83" s="9" t="s">
        <v>304</v>
      </c>
    </row>
    <row r="84" spans="2:8">
      <c r="B84" s="82"/>
      <c r="C84" s="82"/>
      <c r="D84" s="82"/>
      <c r="E84" s="82"/>
      <c r="F84" s="9" t="s">
        <v>47</v>
      </c>
      <c r="G84" s="9" t="s">
        <v>192</v>
      </c>
      <c r="H84" s="9" t="s">
        <v>48</v>
      </c>
    </row>
    <row r="85" spans="2:8">
      <c r="B85" s="80" t="s">
        <v>305</v>
      </c>
      <c r="C85" s="80" t="s">
        <v>306</v>
      </c>
      <c r="D85" s="80" t="s">
        <v>307</v>
      </c>
      <c r="E85" s="80" t="s">
        <v>35</v>
      </c>
      <c r="F85" s="9" t="s">
        <v>41</v>
      </c>
      <c r="G85" s="9" t="s">
        <v>42</v>
      </c>
      <c r="H85" s="9" t="s">
        <v>227</v>
      </c>
    </row>
    <row r="86" spans="2:8">
      <c r="B86" s="81"/>
      <c r="C86" s="81"/>
      <c r="D86" s="81"/>
      <c r="E86" s="81"/>
      <c r="F86" s="9" t="s">
        <v>44</v>
      </c>
      <c r="G86" s="9" t="s">
        <v>42</v>
      </c>
      <c r="H86" s="9" t="s">
        <v>228</v>
      </c>
    </row>
    <row r="87" spans="2:8">
      <c r="B87" s="82"/>
      <c r="C87" s="82"/>
      <c r="D87" s="82"/>
      <c r="E87" s="82"/>
      <c r="F87" s="9" t="s">
        <v>47</v>
      </c>
      <c r="G87" s="9" t="s">
        <v>192</v>
      </c>
      <c r="H87" s="9" t="s">
        <v>48</v>
      </c>
    </row>
    <row r="88" spans="2:8">
      <c r="B88" s="80" t="s">
        <v>308</v>
      </c>
      <c r="C88" s="80" t="s">
        <v>309</v>
      </c>
      <c r="D88" s="80" t="s">
        <v>310</v>
      </c>
      <c r="E88" s="80" t="s">
        <v>35</v>
      </c>
      <c r="F88" s="9" t="s">
        <v>311</v>
      </c>
      <c r="G88" s="9" t="s">
        <v>192</v>
      </c>
      <c r="H88" s="9" t="s">
        <v>312</v>
      </c>
    </row>
    <row r="89" spans="2:8">
      <c r="B89" s="81"/>
      <c r="C89" s="81"/>
      <c r="D89" s="81"/>
      <c r="E89" s="81"/>
      <c r="F89" s="9" t="s">
        <v>313</v>
      </c>
      <c r="G89" s="9" t="s">
        <v>192</v>
      </c>
      <c r="H89" s="9" t="s">
        <v>314</v>
      </c>
    </row>
    <row r="90" spans="2:8">
      <c r="B90" s="81"/>
      <c r="C90" s="81"/>
      <c r="D90" s="81"/>
      <c r="E90" s="81"/>
      <c r="F90" s="9" t="s">
        <v>315</v>
      </c>
      <c r="G90" s="9" t="s">
        <v>192</v>
      </c>
      <c r="H90" s="9" t="s">
        <v>316</v>
      </c>
    </row>
    <row r="91" spans="2:8">
      <c r="B91" s="81"/>
      <c r="C91" s="81"/>
      <c r="D91" s="81"/>
      <c r="E91" s="81"/>
      <c r="F91" s="9" t="s">
        <v>317</v>
      </c>
      <c r="G91" s="9" t="s">
        <v>192</v>
      </c>
      <c r="H91" s="9" t="s">
        <v>318</v>
      </c>
    </row>
    <row r="92" spans="2:8">
      <c r="B92" s="81"/>
      <c r="C92" s="81"/>
      <c r="D92" s="81"/>
      <c r="E92" s="81"/>
      <c r="F92" s="9" t="s">
        <v>319</v>
      </c>
      <c r="G92" s="9" t="s">
        <v>192</v>
      </c>
      <c r="H92" s="9" t="s">
        <v>320</v>
      </c>
    </row>
    <row r="93" spans="2:8">
      <c r="B93" s="81"/>
      <c r="C93" s="81"/>
      <c r="D93" s="81"/>
      <c r="E93" s="81"/>
      <c r="F93" s="9" t="s">
        <v>321</v>
      </c>
      <c r="G93" s="9" t="s">
        <v>192</v>
      </c>
      <c r="H93" s="9" t="s">
        <v>322</v>
      </c>
    </row>
    <row r="94" spans="2:8">
      <c r="B94" s="81"/>
      <c r="C94" s="81"/>
      <c r="D94" s="81"/>
      <c r="E94" s="81"/>
      <c r="F94" s="9" t="s">
        <v>323</v>
      </c>
      <c r="G94" s="9" t="s">
        <v>192</v>
      </c>
      <c r="H94" s="9" t="s">
        <v>324</v>
      </c>
    </row>
    <row r="95" spans="2:8">
      <c r="B95" s="81"/>
      <c r="C95" s="81"/>
      <c r="D95" s="81"/>
      <c r="E95" s="81"/>
      <c r="F95" s="9" t="s">
        <v>325</v>
      </c>
      <c r="G95" s="9" t="s">
        <v>192</v>
      </c>
      <c r="H95" s="9" t="s">
        <v>326</v>
      </c>
    </row>
    <row r="96" spans="2:8">
      <c r="B96" s="81"/>
      <c r="C96" s="81"/>
      <c r="D96" s="81"/>
      <c r="E96" s="81"/>
      <c r="F96" s="9" t="s">
        <v>327</v>
      </c>
      <c r="G96" s="9" t="s">
        <v>192</v>
      </c>
      <c r="H96" s="9" t="s">
        <v>328</v>
      </c>
    </row>
    <row r="97" spans="2:8">
      <c r="B97" s="81"/>
      <c r="C97" s="81"/>
      <c r="D97" s="81"/>
      <c r="E97" s="81"/>
      <c r="F97" s="9" t="s">
        <v>329</v>
      </c>
      <c r="G97" s="9" t="s">
        <v>192</v>
      </c>
      <c r="H97" s="9" t="s">
        <v>330</v>
      </c>
    </row>
    <row r="98" spans="2:8">
      <c r="B98" s="81"/>
      <c r="C98" s="81"/>
      <c r="D98" s="81"/>
      <c r="E98" s="81"/>
      <c r="F98" s="9" t="s">
        <v>331</v>
      </c>
      <c r="G98" s="9" t="s">
        <v>192</v>
      </c>
      <c r="H98" s="9" t="s">
        <v>332</v>
      </c>
    </row>
    <row r="99" spans="2:8">
      <c r="B99" s="81"/>
      <c r="C99" s="81"/>
      <c r="D99" s="81"/>
      <c r="E99" s="81"/>
      <c r="F99" s="9" t="s">
        <v>333</v>
      </c>
      <c r="G99" s="9" t="s">
        <v>192</v>
      </c>
      <c r="H99" s="9" t="s">
        <v>334</v>
      </c>
    </row>
    <row r="100" spans="2:8">
      <c r="B100" s="81"/>
      <c r="C100" s="81"/>
      <c r="D100" s="81"/>
      <c r="E100" s="81"/>
      <c r="F100" s="9" t="s">
        <v>335</v>
      </c>
      <c r="G100" s="9" t="s">
        <v>192</v>
      </c>
      <c r="H100" s="9" t="s">
        <v>336</v>
      </c>
    </row>
    <row r="101" spans="2:8">
      <c r="B101" s="81"/>
      <c r="C101" s="81"/>
      <c r="D101" s="81"/>
      <c r="E101" s="81"/>
      <c r="F101" s="9" t="s">
        <v>337</v>
      </c>
      <c r="G101" s="9" t="s">
        <v>192</v>
      </c>
      <c r="H101" s="9" t="s">
        <v>338</v>
      </c>
    </row>
    <row r="102" spans="2:8">
      <c r="B102" s="81"/>
      <c r="C102" s="81"/>
      <c r="D102" s="81"/>
      <c r="E102" s="81"/>
      <c r="F102" s="9" t="s">
        <v>47</v>
      </c>
      <c r="G102" s="9" t="s">
        <v>192</v>
      </c>
      <c r="H102" s="9" t="s">
        <v>48</v>
      </c>
    </row>
    <row r="103" spans="2:8">
      <c r="B103" s="82"/>
      <c r="C103" s="82"/>
      <c r="D103" s="82"/>
      <c r="E103" s="82"/>
      <c r="F103" s="9" t="s">
        <v>339</v>
      </c>
      <c r="G103" s="9" t="s">
        <v>37</v>
      </c>
      <c r="H103" s="9" t="s">
        <v>340</v>
      </c>
    </row>
    <row r="104" spans="2:8">
      <c r="B104" s="37" t="s">
        <v>341</v>
      </c>
      <c r="C104" s="37" t="s">
        <v>342</v>
      </c>
      <c r="D104" s="37" t="s">
        <v>343</v>
      </c>
      <c r="E104" s="37" t="s">
        <v>35</v>
      </c>
      <c r="F104" s="9"/>
      <c r="G104" s="9"/>
      <c r="H104" s="9"/>
    </row>
    <row r="105" spans="2:8">
      <c r="B105" s="80"/>
      <c r="C105" s="80"/>
      <c r="D105" s="80"/>
      <c r="E105" s="80"/>
      <c r="F105" s="9"/>
      <c r="G105" s="9"/>
      <c r="H105" s="9"/>
    </row>
    <row r="106" spans="2:8">
      <c r="B106" s="81"/>
      <c r="C106" s="81"/>
      <c r="D106" s="81"/>
      <c r="E106" s="81"/>
      <c r="F106" s="9"/>
      <c r="G106" s="9"/>
      <c r="H106" s="9"/>
    </row>
    <row r="107" spans="2:8">
      <c r="B107" s="82"/>
      <c r="C107" s="82"/>
      <c r="D107" s="82"/>
      <c r="E107" s="82"/>
      <c r="F107" s="9"/>
      <c r="G107" s="9"/>
      <c r="H107" s="9"/>
    </row>
    <row r="108" spans="2:8">
      <c r="B108" s="80"/>
      <c r="C108" s="80"/>
      <c r="D108" s="80"/>
      <c r="E108" s="80"/>
      <c r="F108" s="9"/>
      <c r="G108" s="9"/>
      <c r="H108" s="9"/>
    </row>
    <row r="109" spans="2:8">
      <c r="B109" s="82"/>
      <c r="C109" s="82"/>
      <c r="D109" s="82"/>
      <c r="E109" s="82"/>
      <c r="F109" s="9"/>
      <c r="G109" s="9"/>
      <c r="H109" s="9"/>
    </row>
    <row r="110" spans="2:8">
      <c r="B110" s="80"/>
      <c r="C110" s="80"/>
      <c r="D110" s="80"/>
      <c r="E110" s="80"/>
      <c r="F110" s="9"/>
      <c r="G110" s="9"/>
      <c r="H110" s="9"/>
    </row>
    <row r="111" spans="2:8">
      <c r="B111" s="82"/>
      <c r="C111" s="82"/>
      <c r="D111" s="82"/>
      <c r="E111" s="82"/>
      <c r="F111" s="9"/>
      <c r="G111" s="9"/>
      <c r="H111" s="9"/>
    </row>
    <row r="112" spans="2:8">
      <c r="B112" s="80"/>
      <c r="C112" s="80"/>
      <c r="D112" s="80"/>
      <c r="E112" s="80"/>
      <c r="F112" s="9"/>
      <c r="G112" s="9"/>
      <c r="H112" s="9"/>
    </row>
    <row r="113" spans="2:8">
      <c r="B113" s="82"/>
      <c r="C113" s="82"/>
      <c r="D113" s="82"/>
      <c r="E113" s="82"/>
      <c r="F113" s="9"/>
      <c r="G113" s="9"/>
      <c r="H113" s="9"/>
    </row>
    <row r="114" spans="2:8">
      <c r="B114" s="80"/>
      <c r="C114" s="80"/>
      <c r="D114" s="80"/>
      <c r="E114" s="80"/>
      <c r="F114" s="9"/>
      <c r="G114" s="9"/>
      <c r="H114" s="9"/>
    </row>
    <row r="115" spans="2:8">
      <c r="B115" s="81"/>
      <c r="C115" s="81"/>
      <c r="D115" s="81"/>
      <c r="E115" s="81"/>
      <c r="F115" s="9"/>
      <c r="G115" s="9"/>
      <c r="H115" s="9"/>
    </row>
    <row r="116" spans="2:8">
      <c r="B116" s="82"/>
      <c r="C116" s="82"/>
      <c r="D116" s="82"/>
      <c r="E116" s="82"/>
      <c r="F116" s="9"/>
      <c r="G116" s="9"/>
      <c r="H116" s="9"/>
    </row>
    <row r="117" spans="2:8">
      <c r="B117" s="80"/>
      <c r="C117" s="80"/>
      <c r="D117" s="80"/>
      <c r="E117" s="80"/>
      <c r="F117" s="9"/>
      <c r="G117" s="9"/>
      <c r="H117" s="9"/>
    </row>
    <row r="118" spans="2:8">
      <c r="B118" s="81"/>
      <c r="C118" s="81"/>
      <c r="D118" s="81"/>
      <c r="E118" s="81"/>
      <c r="F118" s="9"/>
      <c r="G118" s="9"/>
      <c r="H118" s="9"/>
    </row>
    <row r="119" spans="2:8">
      <c r="B119" s="82"/>
      <c r="C119" s="82"/>
      <c r="D119" s="82"/>
      <c r="E119" s="82"/>
      <c r="F119" s="9"/>
      <c r="G119" s="9"/>
      <c r="H119" s="9"/>
    </row>
    <row r="120" spans="2:8">
      <c r="B120" s="80"/>
      <c r="C120" s="80"/>
      <c r="D120" s="80"/>
      <c r="E120" s="80"/>
      <c r="F120" s="9"/>
      <c r="G120" s="9"/>
      <c r="H120" s="9"/>
    </row>
    <row r="121" spans="2:8">
      <c r="B121" s="81"/>
      <c r="C121" s="81"/>
      <c r="D121" s="81"/>
      <c r="E121" s="81"/>
      <c r="F121" s="9"/>
      <c r="G121" s="9"/>
      <c r="H121" s="9"/>
    </row>
    <row r="122" spans="2:8">
      <c r="B122" s="82"/>
      <c r="C122" s="82"/>
      <c r="D122" s="82"/>
      <c r="E122" s="82"/>
      <c r="F122" s="9"/>
      <c r="G122" s="9"/>
      <c r="H122" s="9"/>
    </row>
    <row r="123" spans="2:8">
      <c r="B123" s="37"/>
      <c r="C123" s="37"/>
      <c r="D123" s="37"/>
      <c r="E123" s="37"/>
      <c r="F123" s="9"/>
      <c r="G123" s="9"/>
      <c r="H123" s="9"/>
    </row>
    <row r="124" spans="2:8">
      <c r="B124" s="37"/>
      <c r="C124" s="37"/>
      <c r="D124" s="37"/>
      <c r="E124" s="37"/>
      <c r="F124" s="9"/>
      <c r="G124" s="9"/>
      <c r="H124" s="9"/>
    </row>
    <row r="125" spans="2:8">
      <c r="B125" s="80"/>
      <c r="C125" s="80"/>
      <c r="D125" s="80"/>
      <c r="E125" s="80"/>
      <c r="F125" s="9"/>
      <c r="G125" s="9"/>
      <c r="H125" s="9"/>
    </row>
    <row r="126" spans="2:8">
      <c r="B126" s="82"/>
      <c r="C126" s="82"/>
      <c r="D126" s="82"/>
      <c r="E126" s="82"/>
      <c r="F126" s="9"/>
      <c r="G126" s="9"/>
      <c r="H126" s="9"/>
    </row>
    <row r="127" spans="2:8">
      <c r="B127" s="80"/>
      <c r="C127" s="80"/>
      <c r="D127" s="80"/>
      <c r="E127" s="80"/>
      <c r="F127" s="9"/>
      <c r="G127" s="9"/>
      <c r="H127" s="9"/>
    </row>
    <row r="128" spans="2:8">
      <c r="B128" s="81"/>
      <c r="C128" s="81"/>
      <c r="D128" s="81"/>
      <c r="E128" s="81"/>
      <c r="F128" s="9"/>
      <c r="G128" s="9"/>
      <c r="H128" s="9"/>
    </row>
    <row r="129" spans="2:8">
      <c r="B129" s="82"/>
      <c r="C129" s="82"/>
      <c r="D129" s="82"/>
      <c r="E129" s="82"/>
      <c r="F129" s="9"/>
      <c r="G129" s="9"/>
      <c r="H129" s="9"/>
    </row>
    <row r="130" spans="2:8">
      <c r="B130" s="37"/>
      <c r="C130" s="37"/>
      <c r="D130" s="37"/>
      <c r="E130" s="37"/>
      <c r="F130" s="9"/>
      <c r="G130" s="9"/>
      <c r="H130" s="9"/>
    </row>
    <row r="131" spans="2:8">
      <c r="B131" s="80"/>
      <c r="C131" s="80"/>
      <c r="D131" s="80"/>
      <c r="E131" s="80"/>
      <c r="F131" s="9"/>
      <c r="G131" s="9"/>
      <c r="H131" s="9"/>
    </row>
    <row r="132" spans="2:8">
      <c r="B132" s="81"/>
      <c r="C132" s="81"/>
      <c r="D132" s="81"/>
      <c r="E132" s="81"/>
      <c r="F132" s="9"/>
      <c r="G132" s="9"/>
      <c r="H132" s="9"/>
    </row>
    <row r="133" spans="2:8">
      <c r="B133" s="82"/>
      <c r="C133" s="82"/>
      <c r="D133" s="82"/>
      <c r="E133" s="82"/>
      <c r="F133" s="9"/>
      <c r="G133" s="9"/>
      <c r="H133" s="9"/>
    </row>
    <row r="134" spans="2:8">
      <c r="B134" s="80"/>
      <c r="C134" s="80"/>
      <c r="D134" s="80"/>
      <c r="E134" s="80"/>
      <c r="F134" s="9"/>
      <c r="G134" s="9"/>
      <c r="H134" s="9"/>
    </row>
    <row r="135" spans="2:8">
      <c r="B135" s="82"/>
      <c r="C135" s="82"/>
      <c r="D135" s="82"/>
      <c r="E135" s="82"/>
      <c r="F135" s="9"/>
      <c r="G135" s="9"/>
      <c r="H135" s="9"/>
    </row>
    <row r="136" spans="2:8">
      <c r="B136" s="80"/>
      <c r="C136" s="80"/>
      <c r="D136" s="80"/>
      <c r="E136" s="80"/>
      <c r="F136" s="9"/>
      <c r="G136" s="9"/>
      <c r="H136" s="9"/>
    </row>
    <row r="137" spans="2:8">
      <c r="B137" s="82"/>
      <c r="C137" s="82"/>
      <c r="D137" s="82"/>
      <c r="E137" s="82"/>
      <c r="F137" s="9"/>
      <c r="G137" s="9"/>
      <c r="H137" s="9"/>
    </row>
    <row r="138" spans="2:8">
      <c r="B138" s="37"/>
      <c r="C138" s="37"/>
      <c r="D138" s="37"/>
      <c r="E138" s="37"/>
      <c r="F138" s="9"/>
      <c r="G138" s="9"/>
      <c r="H138" s="9"/>
    </row>
    <row r="139" spans="2:8">
      <c r="B139" s="37"/>
      <c r="C139" s="37"/>
      <c r="D139" s="37"/>
      <c r="E139" s="37"/>
      <c r="F139" s="9"/>
      <c r="G139" s="9"/>
      <c r="H139" s="9"/>
    </row>
    <row r="140" spans="2:8">
      <c r="B140" s="80"/>
      <c r="C140" s="80"/>
      <c r="D140" s="80"/>
      <c r="E140" s="80"/>
      <c r="F140" s="9"/>
      <c r="G140" s="9"/>
      <c r="H140" s="9"/>
    </row>
    <row r="141" spans="2:8">
      <c r="B141" s="82"/>
      <c r="C141" s="82"/>
      <c r="D141" s="82"/>
      <c r="E141" s="82"/>
      <c r="F141" s="9"/>
      <c r="G141" s="9"/>
      <c r="H141" s="9"/>
    </row>
    <row r="142" spans="2:8">
      <c r="B142" s="80"/>
      <c r="C142" s="80"/>
      <c r="D142" s="80"/>
      <c r="E142" s="80"/>
      <c r="F142" s="9"/>
      <c r="G142" s="9"/>
      <c r="H142" s="9"/>
    </row>
    <row r="143" spans="2:8">
      <c r="B143" s="82"/>
      <c r="C143" s="82"/>
      <c r="D143" s="82"/>
      <c r="E143" s="82"/>
      <c r="F143" s="9"/>
      <c r="G143" s="9"/>
      <c r="H143" s="9"/>
    </row>
    <row r="144" spans="2:8">
      <c r="B144" s="37"/>
      <c r="C144" s="37"/>
      <c r="D144" s="37"/>
      <c r="E144" s="37"/>
      <c r="F144" s="9"/>
      <c r="G144" s="9"/>
      <c r="H144" s="9"/>
    </row>
    <row r="145" spans="2:8">
      <c r="B145" s="80"/>
      <c r="C145" s="80"/>
      <c r="D145" s="80"/>
      <c r="E145" s="80"/>
      <c r="F145" s="9"/>
      <c r="G145" s="9"/>
      <c r="H145" s="9"/>
    </row>
    <row r="146" spans="2:8">
      <c r="B146" s="81"/>
      <c r="C146" s="81"/>
      <c r="D146" s="81"/>
      <c r="E146" s="81"/>
      <c r="F146" s="9"/>
      <c r="G146" s="9"/>
      <c r="H146" s="9"/>
    </row>
    <row r="147" spans="2:8">
      <c r="B147" s="81"/>
      <c r="C147" s="81"/>
      <c r="D147" s="81"/>
      <c r="E147" s="81"/>
      <c r="F147" s="9"/>
      <c r="G147" s="9"/>
      <c r="H147" s="9"/>
    </row>
    <row r="148" spans="2:8">
      <c r="B148" s="81"/>
      <c r="C148" s="81"/>
      <c r="D148" s="81"/>
      <c r="E148" s="81"/>
      <c r="F148" s="9"/>
      <c r="G148" s="9"/>
      <c r="H148" s="9"/>
    </row>
    <row r="149" spans="2:8">
      <c r="B149" s="81"/>
      <c r="C149" s="81"/>
      <c r="D149" s="81"/>
      <c r="E149" s="81"/>
      <c r="F149" s="9"/>
      <c r="G149" s="9"/>
      <c r="H149" s="9"/>
    </row>
    <row r="150" spans="2:8">
      <c r="B150" s="81"/>
      <c r="C150" s="81"/>
      <c r="D150" s="81"/>
      <c r="E150" s="81"/>
      <c r="F150" s="9"/>
      <c r="G150" s="9"/>
      <c r="H150" s="9"/>
    </row>
    <row r="151" spans="2:8">
      <c r="B151" s="81"/>
      <c r="C151" s="81"/>
      <c r="D151" s="81"/>
      <c r="E151" s="81"/>
      <c r="F151" s="9"/>
      <c r="G151" s="9"/>
      <c r="H151" s="9"/>
    </row>
    <row r="152" spans="2:8">
      <c r="B152" s="81"/>
      <c r="C152" s="81"/>
      <c r="D152" s="81"/>
      <c r="E152" s="81"/>
      <c r="F152" s="9"/>
      <c r="G152" s="9"/>
      <c r="H152" s="9"/>
    </row>
    <row r="153" spans="2:8">
      <c r="B153" s="82"/>
      <c r="C153" s="82"/>
      <c r="D153" s="82"/>
      <c r="E153" s="82"/>
      <c r="F153" s="9"/>
      <c r="G153" s="9"/>
      <c r="H153" s="9"/>
    </row>
    <row r="154" spans="2:8">
      <c r="B154" s="80"/>
      <c r="C154" s="80"/>
      <c r="D154" s="80"/>
      <c r="E154" s="80"/>
      <c r="F154" s="9"/>
      <c r="G154" s="9"/>
      <c r="H154" s="9"/>
    </row>
    <row r="155" spans="2:8">
      <c r="B155" s="82"/>
      <c r="C155" s="82"/>
      <c r="D155" s="82"/>
      <c r="E155" s="82"/>
      <c r="F155" s="9"/>
      <c r="G155" s="9"/>
      <c r="H155" s="9"/>
    </row>
    <row r="156" spans="2:8">
      <c r="B156" s="37"/>
      <c r="C156" s="37"/>
      <c r="D156" s="37"/>
      <c r="E156" s="37"/>
      <c r="F156" s="9"/>
      <c r="G156" s="9"/>
      <c r="H156" s="9"/>
    </row>
    <row r="157" spans="2:8">
      <c r="B157" s="80"/>
      <c r="C157" s="80"/>
      <c r="D157" s="80"/>
      <c r="E157" s="80"/>
      <c r="F157" s="9"/>
      <c r="G157" s="9"/>
      <c r="H157" s="9"/>
    </row>
    <row r="158" spans="2:8">
      <c r="B158" s="82"/>
      <c r="C158" s="82"/>
      <c r="D158" s="82"/>
      <c r="E158" s="82"/>
      <c r="F158" s="9"/>
      <c r="G158" s="9"/>
      <c r="H158" s="9"/>
    </row>
    <row r="159" spans="2:8">
      <c r="B159" s="80"/>
      <c r="C159" s="80"/>
      <c r="D159" s="80"/>
      <c r="E159" s="80"/>
      <c r="F159" s="9"/>
      <c r="G159" s="9"/>
      <c r="H159" s="9"/>
    </row>
    <row r="160" spans="2:8">
      <c r="B160" s="81"/>
      <c r="C160" s="81"/>
      <c r="D160" s="81"/>
      <c r="E160" s="81"/>
      <c r="F160" s="9"/>
      <c r="G160" s="9"/>
      <c r="H160" s="9"/>
    </row>
    <row r="161" spans="2:8">
      <c r="B161" s="82"/>
      <c r="C161" s="82"/>
      <c r="D161" s="82"/>
      <c r="E161" s="82"/>
      <c r="F161" s="9"/>
      <c r="G161" s="9"/>
      <c r="H161" s="9"/>
    </row>
    <row r="162" spans="2:8">
      <c r="B162" s="80"/>
      <c r="C162" s="80"/>
      <c r="D162" s="80"/>
      <c r="E162" s="80"/>
      <c r="F162" s="9"/>
      <c r="G162" s="9"/>
      <c r="H162" s="9"/>
    </row>
    <row r="163" spans="2:8">
      <c r="B163" s="81"/>
      <c r="C163" s="81"/>
      <c r="D163" s="81"/>
      <c r="E163" s="81"/>
      <c r="F163" s="9"/>
      <c r="G163" s="9"/>
      <c r="H163" s="9"/>
    </row>
    <row r="164" spans="2:8">
      <c r="B164" s="82"/>
      <c r="C164" s="82"/>
      <c r="D164" s="82"/>
      <c r="E164" s="82"/>
      <c r="F164" s="9"/>
      <c r="G164" s="9"/>
      <c r="H164" s="9"/>
    </row>
    <row r="165" spans="2:8">
      <c r="B165" s="80"/>
      <c r="C165" s="80"/>
      <c r="D165" s="80"/>
      <c r="E165" s="80"/>
      <c r="F165" s="9"/>
      <c r="G165" s="9"/>
      <c r="H165" s="9"/>
    </row>
    <row r="166" spans="2:8">
      <c r="B166" s="81"/>
      <c r="C166" s="81"/>
      <c r="D166" s="81"/>
      <c r="E166" s="81"/>
      <c r="F166" s="9"/>
      <c r="G166" s="9"/>
      <c r="H166" s="9"/>
    </row>
    <row r="167" spans="2:8">
      <c r="B167" s="81"/>
      <c r="C167" s="81"/>
      <c r="D167" s="81"/>
      <c r="E167" s="81"/>
      <c r="F167" s="9"/>
      <c r="G167" s="9"/>
      <c r="H167" s="9"/>
    </row>
    <row r="168" spans="2:8">
      <c r="B168" s="81"/>
      <c r="C168" s="81"/>
      <c r="D168" s="81"/>
      <c r="E168" s="81"/>
      <c r="F168" s="9"/>
      <c r="G168" s="9"/>
      <c r="H168" s="9"/>
    </row>
    <row r="169" spans="2:8">
      <c r="B169" s="81"/>
      <c r="C169" s="81"/>
      <c r="D169" s="81"/>
      <c r="E169" s="81"/>
      <c r="F169" s="9"/>
      <c r="G169" s="9"/>
      <c r="H169" s="9"/>
    </row>
    <row r="170" spans="2:8">
      <c r="B170" s="81"/>
      <c r="C170" s="81"/>
      <c r="D170" s="81"/>
      <c r="E170" s="81"/>
      <c r="F170" s="9"/>
      <c r="G170" s="9"/>
      <c r="H170" s="9"/>
    </row>
    <row r="171" spans="2:8">
      <c r="B171" s="81"/>
      <c r="C171" s="81"/>
      <c r="D171" s="81"/>
      <c r="E171" s="81"/>
      <c r="F171" s="9"/>
      <c r="G171" s="9"/>
      <c r="H171" s="9"/>
    </row>
    <row r="172" spans="2:8">
      <c r="B172" s="81"/>
      <c r="C172" s="81"/>
      <c r="D172" s="81"/>
      <c r="E172" s="81"/>
      <c r="F172" s="9"/>
      <c r="G172" s="9"/>
      <c r="H172" s="9"/>
    </row>
    <row r="173" spans="2:8">
      <c r="B173" s="81"/>
      <c r="C173" s="81"/>
      <c r="D173" s="81"/>
      <c r="E173" s="81"/>
      <c r="F173" s="9"/>
      <c r="G173" s="9"/>
      <c r="H173" s="9"/>
    </row>
    <row r="174" spans="2:8">
      <c r="B174" s="81"/>
      <c r="C174" s="81"/>
      <c r="D174" s="81"/>
      <c r="E174" s="81"/>
      <c r="F174" s="9"/>
      <c r="G174" s="9"/>
      <c r="H174" s="9"/>
    </row>
    <row r="175" spans="2:8">
      <c r="B175" s="81"/>
      <c r="C175" s="81"/>
      <c r="D175" s="81"/>
      <c r="E175" s="81"/>
      <c r="F175" s="9"/>
      <c r="G175" s="9"/>
      <c r="H175" s="9"/>
    </row>
    <row r="176" spans="2:8">
      <c r="B176" s="81"/>
      <c r="C176" s="81"/>
      <c r="D176" s="81"/>
      <c r="E176" s="81"/>
      <c r="F176" s="9"/>
      <c r="G176" s="9"/>
      <c r="H176" s="9"/>
    </row>
    <row r="177" spans="2:8">
      <c r="B177" s="81"/>
      <c r="C177" s="81"/>
      <c r="D177" s="81"/>
      <c r="E177" s="81"/>
      <c r="F177" s="9"/>
      <c r="G177" s="9"/>
      <c r="H177" s="9"/>
    </row>
    <row r="178" spans="2:8">
      <c r="B178" s="81"/>
      <c r="C178" s="81"/>
      <c r="D178" s="81"/>
      <c r="E178" s="81"/>
      <c r="F178" s="9"/>
      <c r="G178" s="9"/>
      <c r="H178" s="9"/>
    </row>
    <row r="179" spans="2:8">
      <c r="B179" s="82"/>
      <c r="C179" s="82"/>
      <c r="D179" s="82"/>
      <c r="E179" s="82"/>
      <c r="F179" s="9"/>
      <c r="G179" s="9"/>
      <c r="H179" s="9"/>
    </row>
    <row r="180" spans="2:8">
      <c r="B180" s="37"/>
      <c r="C180" s="37"/>
      <c r="D180" s="37"/>
      <c r="E180" s="37"/>
      <c r="F180" s="9"/>
      <c r="G180" s="9"/>
      <c r="H180" s="9"/>
    </row>
    <row r="181" spans="2:8">
      <c r="B181" s="37"/>
      <c r="C181" s="37"/>
      <c r="D181" s="37"/>
      <c r="E181" s="37"/>
      <c r="F181" s="9"/>
      <c r="G181" s="9"/>
      <c r="H181" s="9"/>
    </row>
    <row r="182" spans="2:8">
      <c r="B182" s="80"/>
      <c r="C182" s="80"/>
      <c r="D182" s="80"/>
      <c r="E182" s="80"/>
      <c r="F182" s="9"/>
      <c r="G182" s="9"/>
      <c r="H182" s="9"/>
    </row>
    <row r="183" spans="2:8">
      <c r="B183" s="81"/>
      <c r="C183" s="81"/>
      <c r="D183" s="81"/>
      <c r="E183" s="81"/>
      <c r="F183" s="9"/>
      <c r="G183" s="9"/>
      <c r="H183" s="9"/>
    </row>
    <row r="184" spans="2:8">
      <c r="B184" s="81"/>
      <c r="C184" s="81"/>
      <c r="D184" s="81"/>
      <c r="E184" s="81"/>
      <c r="F184" s="9"/>
      <c r="G184" s="9"/>
      <c r="H184" s="9"/>
    </row>
    <row r="185" spans="2:8">
      <c r="B185" s="81"/>
      <c r="C185" s="81"/>
      <c r="D185" s="81"/>
      <c r="E185" s="81"/>
      <c r="F185" s="9"/>
      <c r="G185" s="9"/>
      <c r="H185" s="9"/>
    </row>
    <row r="186" spans="2:8">
      <c r="B186" s="81"/>
      <c r="C186" s="81"/>
      <c r="D186" s="81"/>
      <c r="E186" s="81"/>
      <c r="F186" s="9"/>
      <c r="G186" s="9"/>
      <c r="H186" s="9"/>
    </row>
    <row r="187" spans="2:8">
      <c r="B187" s="81"/>
      <c r="C187" s="81"/>
      <c r="D187" s="81"/>
      <c r="E187" s="81"/>
      <c r="F187" s="9"/>
      <c r="G187" s="9"/>
      <c r="H187" s="9"/>
    </row>
    <row r="188" spans="2:8">
      <c r="B188" s="81"/>
      <c r="C188" s="81"/>
      <c r="D188" s="81"/>
      <c r="E188" s="81"/>
      <c r="F188" s="9"/>
      <c r="G188" s="9"/>
      <c r="H188" s="9"/>
    </row>
    <row r="189" spans="2:8">
      <c r="B189" s="81"/>
      <c r="C189" s="81"/>
      <c r="D189" s="81"/>
      <c r="E189" s="81"/>
      <c r="F189" s="9"/>
      <c r="G189" s="9"/>
      <c r="H189" s="9"/>
    </row>
    <row r="190" spans="2:8">
      <c r="B190" s="81"/>
      <c r="C190" s="81"/>
      <c r="D190" s="81"/>
      <c r="E190" s="81"/>
      <c r="F190" s="9"/>
      <c r="G190" s="9"/>
      <c r="H190" s="9"/>
    </row>
    <row r="191" spans="2:8">
      <c r="B191" s="81"/>
      <c r="C191" s="81"/>
      <c r="D191" s="81"/>
      <c r="E191" s="81"/>
      <c r="F191" s="9"/>
      <c r="G191" s="9"/>
      <c r="H191" s="9"/>
    </row>
    <row r="192" spans="2:8">
      <c r="B192" s="81"/>
      <c r="C192" s="81"/>
      <c r="D192" s="81"/>
      <c r="E192" s="81"/>
      <c r="F192" s="9"/>
      <c r="G192" s="9"/>
      <c r="H192" s="9"/>
    </row>
    <row r="193" spans="2:8">
      <c r="B193" s="81"/>
      <c r="C193" s="81"/>
      <c r="D193" s="81"/>
      <c r="E193" s="81"/>
      <c r="F193" s="9"/>
      <c r="G193" s="9"/>
      <c r="H193" s="9"/>
    </row>
    <row r="194" spans="2:8">
      <c r="B194" s="82"/>
      <c r="C194" s="82"/>
      <c r="D194" s="82"/>
      <c r="E194" s="82"/>
      <c r="F194" s="9"/>
      <c r="G194" s="9"/>
      <c r="H194" s="9"/>
    </row>
    <row r="195" spans="2:8">
      <c r="B195" s="37"/>
      <c r="C195" s="37"/>
      <c r="D195" s="37"/>
      <c r="E195" s="37"/>
      <c r="F195" s="9"/>
      <c r="G195" s="9"/>
      <c r="H195" s="9"/>
    </row>
    <row r="196" spans="2:8">
      <c r="B196" s="37"/>
      <c r="C196" s="37"/>
      <c r="D196" s="37"/>
      <c r="E196" s="37"/>
      <c r="F196" s="9"/>
      <c r="G196" s="9"/>
      <c r="H196" s="9"/>
    </row>
    <row r="197" spans="2:8">
      <c r="B197" s="80"/>
      <c r="C197" s="80"/>
      <c r="D197" s="80"/>
      <c r="E197" s="80"/>
      <c r="F197" s="9"/>
      <c r="G197" s="9"/>
      <c r="H197" s="9"/>
    </row>
    <row r="198" spans="2:8">
      <c r="B198" s="81"/>
      <c r="C198" s="81"/>
      <c r="D198" s="81"/>
      <c r="E198" s="81"/>
      <c r="F198" s="9"/>
      <c r="G198" s="9"/>
      <c r="H198" s="9"/>
    </row>
    <row r="199" spans="2:8">
      <c r="B199" s="81"/>
      <c r="C199" s="81"/>
      <c r="D199" s="81"/>
      <c r="E199" s="81"/>
      <c r="F199" s="9"/>
      <c r="G199" s="9"/>
      <c r="H199" s="9"/>
    </row>
    <row r="200" spans="2:8">
      <c r="B200" s="81"/>
      <c r="C200" s="81"/>
      <c r="D200" s="81"/>
      <c r="E200" s="81"/>
      <c r="F200" s="9"/>
      <c r="G200" s="9"/>
      <c r="H200" s="9"/>
    </row>
    <row r="201" spans="2:8">
      <c r="B201" s="81"/>
      <c r="C201" s="81"/>
      <c r="D201" s="81"/>
      <c r="E201" s="81"/>
      <c r="F201" s="9"/>
      <c r="G201" s="9"/>
      <c r="H201" s="9"/>
    </row>
    <row r="202" spans="2:8">
      <c r="B202" s="82"/>
      <c r="C202" s="82"/>
      <c r="D202" s="82"/>
      <c r="E202" s="82"/>
      <c r="F202" s="9"/>
      <c r="G202" s="9"/>
      <c r="H202" s="9"/>
    </row>
    <row r="203" spans="2:8">
      <c r="B203" s="80"/>
      <c r="C203" s="80"/>
      <c r="D203" s="80"/>
      <c r="E203" s="80"/>
      <c r="F203" s="9"/>
      <c r="G203" s="9"/>
      <c r="H203" s="9"/>
    </row>
    <row r="204" spans="2:8">
      <c r="B204" s="81"/>
      <c r="C204" s="81"/>
      <c r="D204" s="81"/>
      <c r="E204" s="81"/>
      <c r="F204" s="9"/>
      <c r="G204" s="9"/>
      <c r="H204" s="9"/>
    </row>
    <row r="205" spans="2:8">
      <c r="B205" s="81"/>
      <c r="C205" s="81"/>
      <c r="D205" s="81"/>
      <c r="E205" s="81"/>
      <c r="F205" s="9"/>
      <c r="G205" s="9"/>
      <c r="H205" s="9"/>
    </row>
    <row r="206" spans="2:8">
      <c r="B206" s="81"/>
      <c r="C206" s="81"/>
      <c r="D206" s="81"/>
      <c r="E206" s="81"/>
      <c r="F206" s="9"/>
      <c r="G206" s="9"/>
      <c r="H206" s="9"/>
    </row>
    <row r="207" spans="2:8">
      <c r="B207" s="81"/>
      <c r="C207" s="81"/>
      <c r="D207" s="81"/>
      <c r="E207" s="81"/>
      <c r="F207" s="9"/>
      <c r="G207" s="9"/>
      <c r="H207" s="9"/>
    </row>
    <row r="208" spans="2:8">
      <c r="B208" s="81"/>
      <c r="C208" s="81"/>
      <c r="D208" s="81"/>
      <c r="E208" s="81"/>
      <c r="F208" s="9"/>
      <c r="G208" s="9"/>
      <c r="H208" s="9"/>
    </row>
    <row r="209" spans="2:8">
      <c r="B209" s="81"/>
      <c r="C209" s="81"/>
      <c r="D209" s="81"/>
      <c r="E209" s="81"/>
      <c r="F209" s="9"/>
      <c r="G209" s="9"/>
      <c r="H209" s="9"/>
    </row>
    <row r="210" spans="2:8">
      <c r="B210" s="81"/>
      <c r="C210" s="81"/>
      <c r="D210" s="81"/>
      <c r="E210" s="81"/>
      <c r="F210" s="9"/>
      <c r="G210" s="9"/>
      <c r="H210" s="9"/>
    </row>
    <row r="211" spans="2:8">
      <c r="B211" s="82"/>
      <c r="C211" s="82"/>
      <c r="D211" s="82"/>
      <c r="E211" s="82"/>
      <c r="F211" s="9"/>
      <c r="G211" s="9"/>
      <c r="H211" s="9"/>
    </row>
    <row r="212" spans="2:8">
      <c r="B212" s="37"/>
      <c r="C212" s="37"/>
      <c r="D212" s="37"/>
      <c r="E212" s="37"/>
      <c r="F212" s="9"/>
      <c r="G212" s="9"/>
      <c r="H212" s="9"/>
    </row>
    <row r="213" spans="2:8">
      <c r="B213" s="80"/>
      <c r="C213" s="80"/>
      <c r="D213" s="80"/>
      <c r="E213" s="80"/>
      <c r="F213" s="9"/>
      <c r="G213" s="9"/>
      <c r="H213" s="9"/>
    </row>
    <row r="214" spans="2:8">
      <c r="B214" s="81"/>
      <c r="C214" s="81"/>
      <c r="D214" s="81"/>
      <c r="E214" s="81"/>
      <c r="F214" s="9"/>
      <c r="G214" s="9"/>
      <c r="H214" s="9"/>
    </row>
    <row r="215" spans="2:8">
      <c r="B215" s="81"/>
      <c r="C215" s="81"/>
      <c r="D215" s="81"/>
      <c r="E215" s="81"/>
      <c r="F215" s="9"/>
      <c r="G215" s="9"/>
      <c r="H215" s="9"/>
    </row>
    <row r="216" spans="2:8">
      <c r="B216" s="81"/>
      <c r="C216" s="81"/>
      <c r="D216" s="81"/>
      <c r="E216" s="81"/>
      <c r="F216" s="9"/>
      <c r="G216" s="9"/>
      <c r="H216" s="9"/>
    </row>
    <row r="217" spans="2:8">
      <c r="B217" s="81"/>
      <c r="C217" s="81"/>
      <c r="D217" s="81"/>
      <c r="E217" s="81"/>
      <c r="F217" s="9"/>
      <c r="G217" s="9"/>
      <c r="H217" s="9"/>
    </row>
    <row r="218" spans="2:8">
      <c r="B218" s="81"/>
      <c r="C218" s="81"/>
      <c r="D218" s="81"/>
      <c r="E218" s="81"/>
      <c r="F218" s="9"/>
      <c r="G218" s="9"/>
      <c r="H218" s="9"/>
    </row>
    <row r="219" spans="2:8">
      <c r="B219" s="81"/>
      <c r="C219" s="81"/>
      <c r="D219" s="81"/>
      <c r="E219" s="81"/>
      <c r="F219" s="9"/>
      <c r="G219" s="9"/>
      <c r="H219" s="9"/>
    </row>
    <row r="220" spans="2:8">
      <c r="B220" s="81"/>
      <c r="C220" s="81"/>
      <c r="D220" s="81"/>
      <c r="E220" s="81"/>
      <c r="F220" s="9"/>
      <c r="G220" s="9"/>
      <c r="H220" s="9"/>
    </row>
    <row r="221" spans="2:8">
      <c r="B221" s="82"/>
      <c r="C221" s="82"/>
      <c r="D221" s="82"/>
      <c r="E221" s="82"/>
      <c r="F221" s="9"/>
      <c r="G221" s="9"/>
      <c r="H221" s="9"/>
    </row>
    <row r="222" spans="2:8">
      <c r="B222" s="80"/>
      <c r="C222" s="80"/>
      <c r="D222" s="80"/>
      <c r="E222" s="80"/>
      <c r="F222" s="9"/>
      <c r="G222" s="9"/>
      <c r="H222" s="9"/>
    </row>
    <row r="223" spans="2:8">
      <c r="B223" s="81"/>
      <c r="C223" s="81"/>
      <c r="D223" s="81"/>
      <c r="E223" s="81"/>
      <c r="F223" s="9"/>
      <c r="G223" s="9"/>
      <c r="H223" s="9"/>
    </row>
    <row r="224" spans="2:8">
      <c r="B224" s="81"/>
      <c r="C224" s="81"/>
      <c r="D224" s="81"/>
      <c r="E224" s="81"/>
      <c r="F224" s="9"/>
      <c r="G224" s="9"/>
      <c r="H224" s="9"/>
    </row>
    <row r="225" spans="2:8">
      <c r="B225" s="81"/>
      <c r="C225" s="81"/>
      <c r="D225" s="81"/>
      <c r="E225" s="81"/>
      <c r="F225" s="9"/>
      <c r="G225" s="9"/>
      <c r="H225" s="9"/>
    </row>
    <row r="226" spans="2:8">
      <c r="B226" s="81"/>
      <c r="C226" s="81"/>
      <c r="D226" s="81"/>
      <c r="E226" s="81"/>
      <c r="F226" s="9"/>
      <c r="G226" s="9"/>
      <c r="H226" s="9"/>
    </row>
    <row r="227" spans="2:8">
      <c r="B227" s="81"/>
      <c r="C227" s="81"/>
      <c r="D227" s="81"/>
      <c r="E227" s="81"/>
      <c r="F227" s="9"/>
      <c r="G227" s="9"/>
      <c r="H227" s="9"/>
    </row>
    <row r="228" spans="2:8">
      <c r="B228" s="81"/>
      <c r="C228" s="81"/>
      <c r="D228" s="81"/>
      <c r="E228" s="81"/>
      <c r="F228" s="9"/>
      <c r="G228" s="9"/>
      <c r="H228" s="9"/>
    </row>
    <row r="229" spans="2:8">
      <c r="B229" s="82"/>
      <c r="C229" s="82"/>
      <c r="D229" s="82"/>
      <c r="E229" s="82"/>
      <c r="F229" s="9"/>
      <c r="G229" s="9"/>
      <c r="H229" s="9"/>
    </row>
    <row r="230" spans="2:8">
      <c r="B230" s="80"/>
      <c r="C230" s="80"/>
      <c r="D230" s="80"/>
      <c r="E230" s="80"/>
      <c r="F230" s="9"/>
      <c r="G230" s="9"/>
      <c r="H230" s="9"/>
    </row>
    <row r="231" spans="2:8">
      <c r="B231" s="81"/>
      <c r="C231" s="81"/>
      <c r="D231" s="81"/>
      <c r="E231" s="81"/>
      <c r="F231" s="9"/>
      <c r="G231" s="9"/>
      <c r="H231" s="9"/>
    </row>
    <row r="232" spans="2:8">
      <c r="B232" s="81"/>
      <c r="C232" s="81"/>
      <c r="D232" s="81"/>
      <c r="E232" s="81"/>
      <c r="F232" s="9"/>
      <c r="G232" s="9"/>
      <c r="H232" s="9"/>
    </row>
    <row r="233" spans="2:8">
      <c r="B233" s="81"/>
      <c r="C233" s="81"/>
      <c r="D233" s="81"/>
      <c r="E233" s="81"/>
      <c r="F233" s="9"/>
      <c r="G233" s="9"/>
      <c r="H233" s="9"/>
    </row>
    <row r="234" spans="2:8">
      <c r="B234" s="81"/>
      <c r="C234" s="81"/>
      <c r="D234" s="81"/>
      <c r="E234" s="81"/>
      <c r="F234" s="9"/>
      <c r="G234" s="9"/>
      <c r="H234" s="9"/>
    </row>
    <row r="235" spans="2:8">
      <c r="B235" s="81"/>
      <c r="C235" s="81"/>
      <c r="D235" s="81"/>
      <c r="E235" s="81"/>
      <c r="F235" s="9"/>
      <c r="G235" s="9"/>
      <c r="H235" s="9"/>
    </row>
    <row r="236" spans="2:8">
      <c r="B236" s="81"/>
      <c r="C236" s="81"/>
      <c r="D236" s="81"/>
      <c r="E236" s="81"/>
      <c r="F236" s="9"/>
      <c r="G236" s="9"/>
      <c r="H236" s="9"/>
    </row>
    <row r="237" spans="2:8">
      <c r="B237" s="81"/>
      <c r="C237" s="81"/>
      <c r="D237" s="81"/>
      <c r="E237" s="81"/>
      <c r="F237" s="9"/>
      <c r="G237" s="9"/>
      <c r="H237" s="9"/>
    </row>
    <row r="238" spans="2:8">
      <c r="B238" s="81"/>
      <c r="C238" s="81"/>
      <c r="D238" s="81"/>
      <c r="E238" s="81"/>
      <c r="F238" s="9"/>
      <c r="G238" s="9"/>
      <c r="H238" s="9"/>
    </row>
    <row r="239" spans="2:8">
      <c r="B239" s="82"/>
      <c r="C239" s="82"/>
      <c r="D239" s="82"/>
      <c r="E239" s="82"/>
      <c r="F239" s="9"/>
      <c r="G239" s="9"/>
      <c r="H239" s="9"/>
    </row>
    <row r="240" spans="2:8">
      <c r="B240" s="80"/>
      <c r="C240" s="80"/>
      <c r="D240" s="80"/>
      <c r="E240" s="80"/>
      <c r="F240" s="9"/>
      <c r="G240" s="9"/>
      <c r="H240" s="9"/>
    </row>
    <row r="241" spans="2:8">
      <c r="B241" s="81"/>
      <c r="C241" s="81"/>
      <c r="D241" s="81"/>
      <c r="E241" s="81"/>
      <c r="F241" s="9"/>
      <c r="G241" s="9"/>
      <c r="H241" s="9"/>
    </row>
    <row r="242" spans="2:8">
      <c r="B242" s="81"/>
      <c r="C242" s="81"/>
      <c r="D242" s="81"/>
      <c r="E242" s="81"/>
      <c r="F242" s="9"/>
      <c r="G242" s="9"/>
      <c r="H242" s="9"/>
    </row>
    <row r="243" spans="2:8">
      <c r="B243" s="81"/>
      <c r="C243" s="81"/>
      <c r="D243" s="81"/>
      <c r="E243" s="81"/>
      <c r="F243" s="9"/>
      <c r="G243" s="9"/>
      <c r="H243" s="9"/>
    </row>
    <row r="244" spans="2:8">
      <c r="B244" s="81"/>
      <c r="C244" s="81"/>
      <c r="D244" s="81"/>
      <c r="E244" s="81"/>
      <c r="F244" s="9"/>
      <c r="G244" s="9"/>
      <c r="H244" s="9"/>
    </row>
    <row r="245" spans="2:8">
      <c r="B245" s="81"/>
      <c r="C245" s="81"/>
      <c r="D245" s="81"/>
      <c r="E245" s="81"/>
      <c r="F245" s="9"/>
      <c r="G245" s="9"/>
      <c r="H245" s="9"/>
    </row>
    <row r="246" spans="2:8">
      <c r="B246" s="81"/>
      <c r="C246" s="81"/>
      <c r="D246" s="81"/>
      <c r="E246" s="81"/>
      <c r="F246" s="9"/>
      <c r="G246" s="9"/>
      <c r="H246" s="9"/>
    </row>
    <row r="247" spans="2:8">
      <c r="B247" s="81"/>
      <c r="C247" s="81"/>
      <c r="D247" s="81"/>
      <c r="E247" s="81"/>
      <c r="F247" s="9"/>
      <c r="G247" s="9"/>
      <c r="H247" s="9"/>
    </row>
    <row r="248" spans="2:8">
      <c r="B248" s="81"/>
      <c r="C248" s="81"/>
      <c r="D248" s="81"/>
      <c r="E248" s="81"/>
      <c r="F248" s="9"/>
      <c r="G248" s="9"/>
      <c r="H248" s="9"/>
    </row>
    <row r="249" spans="2:8">
      <c r="B249" s="82"/>
      <c r="C249" s="82"/>
      <c r="D249" s="82"/>
      <c r="E249" s="82"/>
      <c r="F249" s="9"/>
      <c r="G249" s="9"/>
      <c r="H249" s="9"/>
    </row>
    <row r="250" spans="2:8">
      <c r="B250" s="80"/>
      <c r="C250" s="80"/>
      <c r="D250" s="80"/>
      <c r="E250" s="80"/>
      <c r="F250" s="9"/>
      <c r="G250" s="9"/>
      <c r="H250" s="9"/>
    </row>
    <row r="251" spans="2:8">
      <c r="B251" s="81"/>
      <c r="C251" s="81"/>
      <c r="D251" s="81"/>
      <c r="E251" s="81"/>
      <c r="F251" s="9"/>
      <c r="G251" s="9"/>
      <c r="H251" s="9"/>
    </row>
    <row r="252" spans="2:8">
      <c r="B252" s="81"/>
      <c r="C252" s="81"/>
      <c r="D252" s="81"/>
      <c r="E252" s="81"/>
      <c r="F252" s="9"/>
      <c r="G252" s="9"/>
      <c r="H252" s="9"/>
    </row>
    <row r="253" spans="2:8">
      <c r="B253" s="81"/>
      <c r="C253" s="81"/>
      <c r="D253" s="81"/>
      <c r="E253" s="81"/>
      <c r="F253" s="9"/>
      <c r="G253" s="9"/>
      <c r="H253" s="9"/>
    </row>
    <row r="254" spans="2:8">
      <c r="B254" s="81"/>
      <c r="C254" s="81"/>
      <c r="D254" s="81"/>
      <c r="E254" s="81"/>
      <c r="F254" s="9"/>
      <c r="G254" s="9"/>
      <c r="H254" s="9"/>
    </row>
    <row r="255" spans="2:8">
      <c r="B255" s="81"/>
      <c r="C255" s="81"/>
      <c r="D255" s="81"/>
      <c r="E255" s="81"/>
      <c r="F255" s="9"/>
      <c r="G255" s="9"/>
      <c r="H255" s="9"/>
    </row>
    <row r="256" spans="2:8">
      <c r="B256" s="81"/>
      <c r="C256" s="81"/>
      <c r="D256" s="81"/>
      <c r="E256" s="81"/>
      <c r="F256" s="9"/>
      <c r="G256" s="9"/>
      <c r="H256" s="9"/>
    </row>
    <row r="257" spans="2:8">
      <c r="B257" s="81"/>
      <c r="C257" s="81"/>
      <c r="D257" s="81"/>
      <c r="E257" s="81"/>
      <c r="F257" s="9"/>
      <c r="G257" s="9"/>
      <c r="H257" s="9"/>
    </row>
    <row r="258" spans="2:8">
      <c r="B258" s="82"/>
      <c r="C258" s="82"/>
      <c r="D258" s="82"/>
      <c r="E258" s="82"/>
      <c r="F258" s="9"/>
      <c r="G258" s="9"/>
      <c r="H258" s="9"/>
    </row>
    <row r="259" spans="2:8">
      <c r="B259" s="80"/>
      <c r="C259" s="80"/>
      <c r="D259" s="80"/>
      <c r="E259" s="80"/>
      <c r="F259" s="9"/>
      <c r="G259" s="9"/>
      <c r="H259" s="9"/>
    </row>
    <row r="260" spans="2:8">
      <c r="B260" s="81"/>
      <c r="C260" s="81"/>
      <c r="D260" s="81"/>
      <c r="E260" s="81"/>
      <c r="F260" s="9"/>
      <c r="G260" s="9"/>
      <c r="H260" s="9"/>
    </row>
    <row r="261" spans="2:8">
      <c r="B261" s="81"/>
      <c r="C261" s="81"/>
      <c r="D261" s="81"/>
      <c r="E261" s="81"/>
      <c r="F261" s="9"/>
      <c r="G261" s="9"/>
      <c r="H261" s="9"/>
    </row>
    <row r="262" spans="2:8">
      <c r="B262" s="81"/>
      <c r="C262" s="81"/>
      <c r="D262" s="81"/>
      <c r="E262" s="81"/>
      <c r="F262" s="9"/>
      <c r="G262" s="9"/>
      <c r="H262" s="9"/>
    </row>
    <row r="263" spans="2:8">
      <c r="B263" s="81"/>
      <c r="C263" s="81"/>
      <c r="D263" s="81"/>
      <c r="E263" s="81"/>
      <c r="F263" s="9"/>
      <c r="G263" s="9"/>
      <c r="H263" s="9"/>
    </row>
    <row r="264" spans="2:8">
      <c r="B264" s="81"/>
      <c r="C264" s="81"/>
      <c r="D264" s="81"/>
      <c r="E264" s="81"/>
      <c r="F264" s="9"/>
      <c r="G264" s="9"/>
      <c r="H264" s="9"/>
    </row>
    <row r="265" spans="2:8">
      <c r="B265" s="81"/>
      <c r="C265" s="81"/>
      <c r="D265" s="81"/>
      <c r="E265" s="81"/>
      <c r="F265" s="9"/>
      <c r="G265" s="9"/>
      <c r="H265" s="9"/>
    </row>
    <row r="266" spans="2:8">
      <c r="B266" s="81"/>
      <c r="C266" s="81"/>
      <c r="D266" s="81"/>
      <c r="E266" s="81"/>
      <c r="F266" s="9"/>
      <c r="G266" s="9"/>
      <c r="H266" s="9"/>
    </row>
    <row r="267" spans="2:8">
      <c r="B267" s="82"/>
      <c r="C267" s="82"/>
      <c r="D267" s="82"/>
      <c r="E267" s="82"/>
      <c r="F267" s="9"/>
      <c r="G267" s="9"/>
      <c r="H267" s="9"/>
    </row>
    <row r="268" spans="2:8">
      <c r="B268" s="80"/>
      <c r="C268" s="80"/>
      <c r="D268" s="80"/>
      <c r="E268" s="80"/>
      <c r="F268" s="9"/>
      <c r="G268" s="9"/>
      <c r="H268" s="9"/>
    </row>
    <row r="269" spans="2:8">
      <c r="B269" s="82"/>
      <c r="C269" s="82"/>
      <c r="D269" s="82"/>
      <c r="E269" s="82"/>
      <c r="F269" s="9"/>
      <c r="G269" s="9"/>
      <c r="H269" s="9"/>
    </row>
    <row r="270" spans="2:8">
      <c r="B270" s="37"/>
      <c r="C270" s="37"/>
      <c r="D270" s="37"/>
      <c r="E270" s="37"/>
      <c r="F270" s="9"/>
      <c r="G270" s="9"/>
      <c r="H270" s="9"/>
    </row>
    <row r="271" spans="2:8">
      <c r="B271" s="80"/>
      <c r="C271" s="80"/>
      <c r="D271" s="80"/>
      <c r="E271" s="80"/>
      <c r="F271" s="9"/>
      <c r="G271" s="9"/>
      <c r="H271" s="9"/>
    </row>
    <row r="272" spans="2:8">
      <c r="B272" s="82"/>
      <c r="C272" s="82"/>
      <c r="D272" s="82"/>
      <c r="E272" s="82"/>
      <c r="F272" s="9"/>
      <c r="G272" s="9"/>
      <c r="H272" s="9"/>
    </row>
    <row r="273" spans="2:8">
      <c r="B273" s="37"/>
      <c r="C273" s="37"/>
      <c r="D273" s="37"/>
      <c r="E273" s="37"/>
      <c r="F273" s="9"/>
      <c r="G273" s="9"/>
      <c r="H273" s="9"/>
    </row>
    <row r="274" spans="2:8">
      <c r="B274" s="37"/>
      <c r="C274" s="37"/>
      <c r="D274" s="37"/>
      <c r="E274" s="37"/>
      <c r="F274" s="9"/>
      <c r="G274" s="9"/>
      <c r="H274" s="9"/>
    </row>
    <row r="275" spans="2:8">
      <c r="B275" s="80"/>
      <c r="C275" s="80"/>
      <c r="D275" s="80"/>
      <c r="E275" s="80"/>
      <c r="F275" s="9"/>
      <c r="G275" s="9"/>
      <c r="H275" s="9"/>
    </row>
    <row r="276" spans="2:8">
      <c r="B276" s="81"/>
      <c r="C276" s="81"/>
      <c r="D276" s="81"/>
      <c r="E276" s="81"/>
      <c r="F276" s="9"/>
      <c r="G276" s="9"/>
      <c r="H276" s="9"/>
    </row>
    <row r="277" spans="2:8">
      <c r="B277" s="82"/>
      <c r="C277" s="82"/>
      <c r="D277" s="82"/>
      <c r="E277" s="82"/>
      <c r="F277" s="9"/>
      <c r="G277" s="9"/>
      <c r="H277" s="9"/>
    </row>
    <row r="278" spans="2:8">
      <c r="B278" s="37"/>
      <c r="C278" s="37"/>
      <c r="D278" s="37"/>
      <c r="E278" s="37"/>
      <c r="F278" s="9"/>
      <c r="G278" s="9"/>
      <c r="H278" s="9"/>
    </row>
    <row r="279" spans="2:8">
      <c r="B279" s="80"/>
      <c r="C279" s="80"/>
      <c r="D279" s="80"/>
      <c r="E279" s="80"/>
      <c r="F279" s="9"/>
      <c r="G279" s="9"/>
      <c r="H279" s="9"/>
    </row>
    <row r="280" spans="2:8">
      <c r="B280" s="81"/>
      <c r="C280" s="81"/>
      <c r="D280" s="81"/>
      <c r="E280" s="81"/>
      <c r="F280" s="9"/>
      <c r="G280" s="9"/>
      <c r="H280" s="9"/>
    </row>
    <row r="281" spans="2:8">
      <c r="B281" s="81"/>
      <c r="C281" s="81"/>
      <c r="D281" s="81"/>
      <c r="E281" s="81"/>
      <c r="F281" s="9"/>
      <c r="G281" s="9"/>
      <c r="H281" s="9"/>
    </row>
    <row r="282" spans="2:8">
      <c r="B282" s="82"/>
      <c r="C282" s="82"/>
      <c r="D282" s="82"/>
      <c r="E282" s="82"/>
      <c r="F282" s="9"/>
      <c r="G282" s="9"/>
      <c r="H282" s="9"/>
    </row>
    <row r="283" spans="2:8">
      <c r="B283" s="80"/>
      <c r="C283" s="80"/>
      <c r="D283" s="80"/>
      <c r="E283" s="80"/>
      <c r="F283" s="9"/>
      <c r="G283" s="9"/>
      <c r="H283" s="9"/>
    </row>
    <row r="284" spans="2:8">
      <c r="B284" s="82"/>
      <c r="C284" s="82"/>
      <c r="D284" s="82"/>
      <c r="E284" s="82"/>
      <c r="F284" s="9"/>
      <c r="G284" s="9"/>
      <c r="H284" s="9"/>
    </row>
    <row r="285" spans="2:8">
      <c r="B285" s="80"/>
      <c r="C285" s="80"/>
      <c r="D285" s="80"/>
      <c r="E285" s="80"/>
      <c r="F285" s="9"/>
      <c r="G285" s="9"/>
      <c r="H285" s="9"/>
    </row>
    <row r="286" spans="2:8">
      <c r="B286" s="81"/>
      <c r="C286" s="81"/>
      <c r="D286" s="81"/>
      <c r="E286" s="81"/>
      <c r="F286" s="9"/>
      <c r="G286" s="9"/>
      <c r="H286" s="9"/>
    </row>
    <row r="287" spans="2:8">
      <c r="B287" s="82"/>
      <c r="C287" s="82"/>
      <c r="D287" s="82"/>
      <c r="E287" s="82"/>
      <c r="F287" s="9"/>
      <c r="G287" s="9"/>
      <c r="H287" s="9"/>
    </row>
    <row r="288" spans="2:8">
      <c r="B288" s="37"/>
      <c r="C288" s="37"/>
      <c r="D288" s="37"/>
      <c r="E288" s="37"/>
      <c r="F288" s="9"/>
      <c r="G288" s="9"/>
      <c r="H288" s="9"/>
    </row>
    <row r="289" spans="2:8">
      <c r="B289" s="80"/>
      <c r="C289" s="80"/>
      <c r="D289" s="80"/>
      <c r="E289" s="80"/>
      <c r="F289" s="9"/>
      <c r="G289" s="9"/>
      <c r="H289" s="9"/>
    </row>
    <row r="290" spans="2:8">
      <c r="B290" s="81"/>
      <c r="C290" s="81"/>
      <c r="D290" s="81"/>
      <c r="E290" s="81"/>
      <c r="F290" s="9"/>
      <c r="G290" s="9"/>
      <c r="H290" s="9"/>
    </row>
    <row r="291" spans="2:8">
      <c r="B291" s="81"/>
      <c r="C291" s="81"/>
      <c r="D291" s="81"/>
      <c r="E291" s="81"/>
      <c r="F291" s="9"/>
      <c r="G291" s="9"/>
      <c r="H291" s="9"/>
    </row>
    <row r="292" spans="2:8">
      <c r="B292" s="81"/>
      <c r="C292" s="81"/>
      <c r="D292" s="81"/>
      <c r="E292" s="81"/>
      <c r="F292" s="9"/>
      <c r="G292" s="9"/>
      <c r="H292" s="9"/>
    </row>
    <row r="293" spans="2:8">
      <c r="B293" s="81"/>
      <c r="C293" s="81"/>
      <c r="D293" s="81"/>
      <c r="E293" s="81"/>
      <c r="F293" s="9"/>
      <c r="G293" s="9"/>
      <c r="H293" s="9"/>
    </row>
    <row r="294" spans="2:8">
      <c r="B294" s="81"/>
      <c r="C294" s="81"/>
      <c r="D294" s="81"/>
      <c r="E294" s="81"/>
      <c r="F294" s="9"/>
      <c r="G294" s="9"/>
      <c r="H294" s="9"/>
    </row>
    <row r="295" spans="2:8">
      <c r="B295" s="82"/>
      <c r="C295" s="82"/>
      <c r="D295" s="82"/>
      <c r="E295" s="82"/>
      <c r="F295" s="9"/>
      <c r="G295" s="9"/>
      <c r="H295" s="9"/>
    </row>
    <row r="296" spans="2:8">
      <c r="B296" s="80"/>
      <c r="C296" s="80"/>
      <c r="D296" s="80"/>
      <c r="E296" s="80"/>
      <c r="F296" s="9"/>
      <c r="G296" s="9"/>
      <c r="H296" s="9"/>
    </row>
    <row r="297" spans="2:8">
      <c r="B297" s="82"/>
      <c r="C297" s="82"/>
      <c r="D297" s="82"/>
      <c r="E297" s="82"/>
      <c r="F297" s="9"/>
      <c r="G297" s="9"/>
      <c r="H297" s="9"/>
    </row>
    <row r="298" spans="2:8">
      <c r="B298" s="37"/>
      <c r="C298" s="37"/>
      <c r="D298" s="37"/>
      <c r="E298" s="37"/>
      <c r="F298" s="9"/>
      <c r="G298" s="9"/>
      <c r="H298" s="9"/>
    </row>
    <row r="299" spans="2:8">
      <c r="B299" s="80"/>
      <c r="C299" s="80"/>
      <c r="D299" s="80"/>
      <c r="E299" s="80"/>
      <c r="F299" s="9"/>
      <c r="G299" s="9"/>
      <c r="H299" s="9"/>
    </row>
    <row r="300" spans="2:8">
      <c r="B300" s="82"/>
      <c r="C300" s="82"/>
      <c r="D300" s="82"/>
      <c r="E300" s="82"/>
      <c r="F300" s="9"/>
      <c r="G300" s="9"/>
      <c r="H300" s="9"/>
    </row>
    <row r="301" spans="2:8">
      <c r="B301" s="80"/>
      <c r="C301" s="80"/>
      <c r="D301" s="80"/>
      <c r="E301" s="80"/>
      <c r="F301" s="9"/>
      <c r="G301" s="9"/>
      <c r="H301" s="9"/>
    </row>
    <row r="302" spans="2:8">
      <c r="B302" s="82"/>
      <c r="C302" s="82"/>
      <c r="D302" s="82"/>
      <c r="E302" s="82"/>
      <c r="F302" s="9"/>
      <c r="G302" s="9"/>
      <c r="H302" s="9"/>
    </row>
    <row r="303" spans="2:8">
      <c r="B303" s="37"/>
      <c r="C303" s="37"/>
      <c r="D303" s="37"/>
      <c r="E303" s="37"/>
      <c r="F303" s="9"/>
      <c r="G303" s="9"/>
      <c r="H303" s="9"/>
    </row>
    <row r="304" spans="2:8">
      <c r="B304" s="80"/>
      <c r="C304" s="80"/>
      <c r="D304" s="80"/>
      <c r="E304" s="80"/>
      <c r="F304" s="9"/>
      <c r="G304" s="9"/>
      <c r="H304" s="9"/>
    </row>
    <row r="305" spans="2:8">
      <c r="B305" s="81"/>
      <c r="C305" s="81"/>
      <c r="D305" s="81"/>
      <c r="E305" s="81"/>
      <c r="F305" s="9"/>
      <c r="G305" s="9"/>
      <c r="H305" s="9"/>
    </row>
    <row r="306" spans="2:8">
      <c r="B306" s="82"/>
      <c r="C306" s="82"/>
      <c r="D306" s="82"/>
      <c r="E306" s="82"/>
      <c r="F306" s="9"/>
      <c r="G306" s="9"/>
      <c r="H306" s="9"/>
    </row>
    <row r="307" spans="2:8">
      <c r="B307" s="37"/>
      <c r="C307" s="37"/>
      <c r="D307" s="37"/>
      <c r="E307" s="37"/>
      <c r="F307" s="9"/>
      <c r="G307" s="9"/>
      <c r="H307" s="9"/>
    </row>
    <row r="308" spans="2:8">
      <c r="B308" s="37"/>
      <c r="C308" s="37"/>
      <c r="D308" s="37"/>
      <c r="E308" s="37"/>
      <c r="F308" s="9"/>
      <c r="G308" s="9"/>
      <c r="H308" s="9"/>
    </row>
    <row r="309" spans="2:8">
      <c r="B309" s="80"/>
      <c r="C309" s="80"/>
      <c r="D309" s="80"/>
      <c r="E309" s="80"/>
      <c r="F309" s="9"/>
      <c r="G309" s="9"/>
      <c r="H309" s="9"/>
    </row>
    <row r="310" spans="2:8">
      <c r="B310" s="82"/>
      <c r="C310" s="82"/>
      <c r="D310" s="82"/>
      <c r="E310" s="82"/>
      <c r="F310" s="9"/>
      <c r="G310" s="9"/>
      <c r="H310" s="9"/>
    </row>
    <row r="311" spans="2:8">
      <c r="B311" s="80"/>
      <c r="C311" s="80"/>
      <c r="D311" s="80"/>
      <c r="E311" s="80"/>
      <c r="F311" s="9"/>
      <c r="G311" s="9"/>
      <c r="H311" s="9"/>
    </row>
    <row r="312" spans="2:8">
      <c r="B312" s="82"/>
      <c r="C312" s="82"/>
      <c r="D312" s="82"/>
      <c r="E312" s="82"/>
      <c r="F312" s="9"/>
      <c r="G312" s="9"/>
      <c r="H312" s="9"/>
    </row>
    <row r="313" spans="2:8">
      <c r="B313" s="37"/>
      <c r="C313" s="37"/>
      <c r="D313" s="37"/>
      <c r="E313" s="37"/>
      <c r="F313" s="9"/>
      <c r="G313" s="9"/>
      <c r="H313" s="9"/>
    </row>
    <row r="314" spans="2:8">
      <c r="B314" s="37"/>
      <c r="C314" s="37"/>
      <c r="D314" s="37"/>
      <c r="E314" s="37"/>
      <c r="F314" s="9"/>
      <c r="G314" s="9"/>
      <c r="H314" s="9"/>
    </row>
    <row r="315" spans="2:8">
      <c r="B315" s="80"/>
      <c r="C315" s="80"/>
      <c r="D315" s="80"/>
      <c r="E315" s="80"/>
      <c r="F315" s="9"/>
      <c r="G315" s="9"/>
      <c r="H315" s="9"/>
    </row>
    <row r="316" spans="2:8">
      <c r="B316" s="82"/>
      <c r="C316" s="82"/>
      <c r="D316" s="82"/>
      <c r="E316" s="82"/>
      <c r="F316" s="9"/>
      <c r="G316" s="9"/>
      <c r="H316" s="9"/>
    </row>
    <row r="317" spans="2:8">
      <c r="B317" s="37"/>
      <c r="C317" s="37"/>
      <c r="D317" s="37"/>
      <c r="E317" s="37"/>
      <c r="F317" s="9"/>
      <c r="G317" s="9"/>
      <c r="H317" s="9"/>
    </row>
    <row r="318" spans="2:8">
      <c r="B318" s="37"/>
      <c r="C318" s="37"/>
      <c r="D318" s="37"/>
      <c r="E318" s="37"/>
      <c r="F318" s="9"/>
      <c r="G318" s="9"/>
      <c r="H318" s="9"/>
    </row>
    <row r="319" spans="2:8">
      <c r="B319" s="80"/>
      <c r="C319" s="80"/>
      <c r="D319" s="80"/>
      <c r="E319" s="80"/>
      <c r="F319" s="9"/>
      <c r="G319" s="9"/>
      <c r="H319" s="9"/>
    </row>
    <row r="320" spans="2:8">
      <c r="B320" s="81"/>
      <c r="C320" s="81"/>
      <c r="D320" s="81"/>
      <c r="E320" s="81"/>
      <c r="F320" s="9"/>
      <c r="G320" s="9"/>
      <c r="H320" s="9"/>
    </row>
    <row r="321" spans="2:8">
      <c r="B321" s="82"/>
      <c r="C321" s="82"/>
      <c r="D321" s="82"/>
      <c r="E321" s="82"/>
      <c r="F321" s="9"/>
      <c r="G321" s="9"/>
      <c r="H321" s="9"/>
    </row>
    <row r="322" spans="2:8">
      <c r="B322" s="37"/>
      <c r="C322" s="37"/>
      <c r="D322" s="37"/>
      <c r="E322" s="37"/>
      <c r="F322" s="9"/>
      <c r="G322" s="9"/>
      <c r="H322" s="9"/>
    </row>
    <row r="323" spans="2:8">
      <c r="B323" s="37"/>
      <c r="C323" s="37"/>
      <c r="D323" s="37"/>
      <c r="E323" s="37"/>
      <c r="F323" s="9"/>
      <c r="G323" s="9"/>
      <c r="H323" s="9"/>
    </row>
    <row r="324" spans="2:8">
      <c r="B324" s="37"/>
      <c r="C324" s="37"/>
      <c r="D324" s="37"/>
      <c r="E324" s="37"/>
      <c r="F324" s="9"/>
      <c r="G324" s="9"/>
      <c r="H324" s="9"/>
    </row>
    <row r="325" spans="2:8">
      <c r="B325" s="80"/>
      <c r="C325" s="80"/>
      <c r="D325" s="80"/>
      <c r="E325" s="80"/>
      <c r="F325" s="9"/>
      <c r="G325" s="9"/>
      <c r="H325" s="9"/>
    </row>
    <row r="326" spans="2:8">
      <c r="B326" s="81"/>
      <c r="C326" s="81"/>
      <c r="D326" s="81"/>
      <c r="E326" s="81"/>
      <c r="F326" s="9"/>
      <c r="G326" s="9"/>
      <c r="H326" s="9"/>
    </row>
    <row r="327" spans="2:8">
      <c r="B327" s="82"/>
      <c r="C327" s="82"/>
      <c r="D327" s="82"/>
      <c r="E327" s="82"/>
      <c r="F327" s="9"/>
      <c r="G327" s="9"/>
      <c r="H327" s="9"/>
    </row>
    <row r="328" spans="2:8">
      <c r="B328" s="37"/>
      <c r="C328" s="37"/>
      <c r="D328" s="37"/>
      <c r="E328" s="37"/>
      <c r="F328" s="9"/>
      <c r="G328" s="9"/>
      <c r="H328" s="9"/>
    </row>
    <row r="329" spans="2:8">
      <c r="B329" s="37"/>
      <c r="C329" s="37"/>
      <c r="D329" s="37"/>
      <c r="E329" s="37"/>
      <c r="F329" s="9"/>
      <c r="G329" s="9"/>
      <c r="H329" s="9"/>
    </row>
    <row r="330" spans="2:8">
      <c r="B330" s="37"/>
      <c r="C330" s="37"/>
      <c r="D330" s="37"/>
      <c r="E330" s="37"/>
      <c r="F330" s="9"/>
      <c r="G330" s="9"/>
      <c r="H330" s="9"/>
    </row>
    <row r="331" spans="2:8">
      <c r="B331" s="80"/>
      <c r="C331" s="80"/>
      <c r="D331" s="80"/>
      <c r="E331" s="80"/>
      <c r="F331" s="9"/>
      <c r="G331" s="9"/>
      <c r="H331" s="9"/>
    </row>
    <row r="332" spans="2:8">
      <c r="B332" s="81"/>
      <c r="C332" s="81"/>
      <c r="D332" s="81"/>
      <c r="E332" s="81"/>
      <c r="F332" s="9"/>
      <c r="G332" s="9"/>
      <c r="H332" s="9"/>
    </row>
    <row r="333" spans="2:8">
      <c r="B333" s="81"/>
      <c r="C333" s="81"/>
      <c r="D333" s="81"/>
      <c r="E333" s="81"/>
      <c r="F333" s="9"/>
      <c r="G333" s="9"/>
      <c r="H333" s="9"/>
    </row>
    <row r="334" spans="2:8">
      <c r="B334" s="81"/>
      <c r="C334" s="81"/>
      <c r="D334" s="81"/>
      <c r="E334" s="81"/>
      <c r="F334" s="9"/>
      <c r="G334" s="9"/>
      <c r="H334" s="9"/>
    </row>
    <row r="335" spans="2:8">
      <c r="B335" s="82"/>
      <c r="C335" s="82"/>
      <c r="D335" s="82"/>
      <c r="E335" s="82"/>
      <c r="F335" s="9"/>
      <c r="G335" s="9"/>
      <c r="H335" s="9"/>
    </row>
    <row r="336" spans="2:8">
      <c r="B336" s="80"/>
      <c r="C336" s="80"/>
      <c r="D336" s="80"/>
      <c r="E336" s="80"/>
      <c r="F336" s="9"/>
      <c r="G336" s="9"/>
      <c r="H336" s="9"/>
    </row>
    <row r="337" spans="2:8">
      <c r="B337" s="82"/>
      <c r="C337" s="82"/>
      <c r="D337" s="82"/>
      <c r="E337" s="82"/>
      <c r="F337" s="9"/>
      <c r="G337" s="9"/>
      <c r="H337" s="9"/>
    </row>
    <row r="338" spans="2:8">
      <c r="B338" s="37"/>
      <c r="C338" s="37"/>
      <c r="D338" s="37"/>
      <c r="E338" s="37"/>
      <c r="F338" s="9"/>
      <c r="G338" s="9"/>
      <c r="H338" s="9"/>
    </row>
    <row r="339" spans="2:8">
      <c r="B339" s="37"/>
      <c r="C339" s="37"/>
      <c r="D339" s="37"/>
      <c r="E339" s="37"/>
      <c r="F339" s="9"/>
      <c r="G339" s="9"/>
      <c r="H339" s="9"/>
    </row>
    <row r="340" spans="2:8">
      <c r="B340" s="80"/>
      <c r="C340" s="80"/>
      <c r="D340" s="80"/>
      <c r="E340" s="80"/>
      <c r="F340" s="9"/>
      <c r="G340" s="9"/>
      <c r="H340" s="9"/>
    </row>
    <row r="341" spans="2:8">
      <c r="B341" s="81"/>
      <c r="C341" s="81"/>
      <c r="D341" s="81"/>
      <c r="E341" s="81"/>
      <c r="F341" s="9"/>
      <c r="G341" s="9"/>
      <c r="H341" s="9"/>
    </row>
    <row r="342" spans="2:8">
      <c r="B342" s="82"/>
      <c r="C342" s="82"/>
      <c r="D342" s="82"/>
      <c r="E342" s="82"/>
      <c r="F342" s="9"/>
      <c r="G342" s="9"/>
      <c r="H342" s="9"/>
    </row>
    <row r="343" spans="2:8">
      <c r="B343" s="37"/>
      <c r="C343" s="37"/>
      <c r="D343" s="37"/>
      <c r="E343" s="37"/>
      <c r="F343" s="9"/>
      <c r="G343" s="9"/>
      <c r="H343" s="9"/>
    </row>
    <row r="344" spans="2:8">
      <c r="B344" s="37"/>
      <c r="C344" s="37"/>
      <c r="D344" s="37"/>
      <c r="E344" s="37"/>
      <c r="F344" s="9"/>
      <c r="G344" s="9"/>
      <c r="H344" s="9"/>
    </row>
    <row r="345" spans="2:8">
      <c r="B345" s="37"/>
      <c r="C345" s="37"/>
      <c r="D345" s="37"/>
      <c r="E345" s="37"/>
      <c r="F345" s="9"/>
      <c r="G345" s="9"/>
      <c r="H345" s="9"/>
    </row>
    <row r="346" spans="2:8">
      <c r="B346" s="37"/>
      <c r="C346" s="37"/>
      <c r="D346" s="37"/>
      <c r="E346" s="37"/>
      <c r="F346" s="9"/>
      <c r="G346" s="9"/>
      <c r="H346" s="9"/>
    </row>
    <row r="347" spans="2:8">
      <c r="B347" s="80"/>
      <c r="C347" s="80"/>
      <c r="D347" s="80"/>
      <c r="E347" s="80"/>
      <c r="F347" s="9"/>
      <c r="G347" s="9"/>
      <c r="H347" s="9"/>
    </row>
    <row r="348" spans="2:8">
      <c r="B348" s="81"/>
      <c r="C348" s="81"/>
      <c r="D348" s="81"/>
      <c r="E348" s="81"/>
      <c r="F348" s="9"/>
      <c r="G348" s="9"/>
      <c r="H348" s="9"/>
    </row>
    <row r="349" spans="2:8">
      <c r="B349" s="81"/>
      <c r="C349" s="81"/>
      <c r="D349" s="81"/>
      <c r="E349" s="81"/>
      <c r="F349" s="9"/>
      <c r="G349" s="9"/>
      <c r="H349" s="9"/>
    </row>
    <row r="350" spans="2:8">
      <c r="B350" s="82"/>
      <c r="C350" s="82"/>
      <c r="D350" s="82"/>
      <c r="E350" s="82"/>
      <c r="F350" s="9"/>
      <c r="G350" s="9"/>
      <c r="H350" s="9"/>
    </row>
    <row r="351" spans="2:8">
      <c r="B351" s="80"/>
      <c r="C351" s="80"/>
      <c r="D351" s="80"/>
      <c r="E351" s="80"/>
      <c r="F351" s="9"/>
      <c r="G351" s="9"/>
      <c r="H351" s="9"/>
    </row>
    <row r="352" spans="2:8">
      <c r="B352" s="81"/>
      <c r="C352" s="81"/>
      <c r="D352" s="81"/>
      <c r="E352" s="81"/>
      <c r="F352" s="9"/>
      <c r="G352" s="9"/>
      <c r="H352" s="9"/>
    </row>
    <row r="353" spans="2:8">
      <c r="B353" s="81"/>
      <c r="C353" s="81"/>
      <c r="D353" s="81"/>
      <c r="E353" s="81"/>
      <c r="F353" s="9"/>
      <c r="G353" s="9"/>
      <c r="H353" s="9"/>
    </row>
    <row r="354" spans="2:8">
      <c r="B354" s="81"/>
      <c r="C354" s="81"/>
      <c r="D354" s="81"/>
      <c r="E354" s="81"/>
      <c r="F354" s="9"/>
      <c r="G354" s="9"/>
      <c r="H354" s="9"/>
    </row>
    <row r="355" spans="2:8">
      <c r="B355" s="82"/>
      <c r="C355" s="82"/>
      <c r="D355" s="82"/>
      <c r="E355" s="82"/>
      <c r="F355" s="9"/>
      <c r="G355" s="9"/>
      <c r="H355" s="9"/>
    </row>
    <row r="356" spans="2:8">
      <c r="B356" s="80"/>
      <c r="C356" s="80"/>
      <c r="D356" s="80"/>
      <c r="E356" s="80"/>
      <c r="F356" s="9"/>
      <c r="G356" s="9"/>
      <c r="H356" s="9"/>
    </row>
    <row r="357" spans="2:8">
      <c r="B357" s="81"/>
      <c r="C357" s="81"/>
      <c r="D357" s="81"/>
      <c r="E357" s="81"/>
      <c r="F357" s="9"/>
      <c r="G357" s="9"/>
      <c r="H357" s="9"/>
    </row>
    <row r="358" spans="2:8">
      <c r="B358" s="82"/>
      <c r="C358" s="82"/>
      <c r="D358" s="82"/>
      <c r="E358" s="82"/>
      <c r="F358" s="9"/>
      <c r="G358" s="9"/>
      <c r="H358" s="9"/>
    </row>
    <row r="359" spans="2:8">
      <c r="B359" s="37"/>
      <c r="C359" s="37"/>
      <c r="D359" s="37"/>
      <c r="E359" s="37"/>
      <c r="F359" s="9"/>
      <c r="G359" s="9"/>
      <c r="H359" s="9"/>
    </row>
    <row r="360" spans="2:8">
      <c r="B360" s="80"/>
      <c r="C360" s="80"/>
      <c r="D360" s="80"/>
      <c r="E360" s="80"/>
      <c r="F360" s="9"/>
      <c r="G360" s="9"/>
      <c r="H360" s="9"/>
    </row>
    <row r="361" spans="2:8">
      <c r="B361" s="81"/>
      <c r="C361" s="81"/>
      <c r="D361" s="81"/>
      <c r="E361" s="81"/>
      <c r="F361" s="9"/>
      <c r="G361" s="9"/>
      <c r="H361" s="9"/>
    </row>
    <row r="362" spans="2:8">
      <c r="B362" s="81"/>
      <c r="C362" s="81"/>
      <c r="D362" s="81"/>
      <c r="E362" s="81"/>
      <c r="F362" s="9"/>
      <c r="G362" s="9"/>
      <c r="H362" s="9"/>
    </row>
    <row r="363" spans="2:8">
      <c r="B363" s="81"/>
      <c r="C363" s="81"/>
      <c r="D363" s="81"/>
      <c r="E363" s="81"/>
      <c r="F363" s="9"/>
      <c r="G363" s="9"/>
      <c r="H363" s="9"/>
    </row>
    <row r="364" spans="2:8">
      <c r="B364" s="81"/>
      <c r="C364" s="81"/>
      <c r="D364" s="81"/>
      <c r="E364" s="81"/>
      <c r="F364" s="9"/>
      <c r="G364" s="9"/>
      <c r="H364" s="9"/>
    </row>
    <row r="365" spans="2:8">
      <c r="B365" s="81"/>
      <c r="C365" s="81"/>
      <c r="D365" s="81"/>
      <c r="E365" s="81"/>
      <c r="F365" s="9"/>
      <c r="G365" s="9"/>
      <c r="H365" s="9"/>
    </row>
    <row r="366" spans="2:8">
      <c r="B366" s="82"/>
      <c r="C366" s="82"/>
      <c r="D366" s="82"/>
      <c r="E366" s="82"/>
      <c r="F366" s="9"/>
      <c r="G366" s="9"/>
      <c r="H366" s="9"/>
    </row>
    <row r="367" spans="2:8">
      <c r="B367" s="37"/>
      <c r="C367" s="37"/>
      <c r="D367" s="37"/>
      <c r="E367" s="37"/>
      <c r="F367" s="9"/>
      <c r="G367" s="9"/>
      <c r="H367" s="9"/>
    </row>
    <row r="368" spans="2:8">
      <c r="B368" s="80"/>
      <c r="C368" s="80"/>
      <c r="D368" s="80"/>
      <c r="E368" s="80"/>
      <c r="F368" s="9"/>
      <c r="G368" s="9"/>
      <c r="H368" s="9"/>
    </row>
    <row r="369" spans="2:8">
      <c r="B369" s="81"/>
      <c r="C369" s="81"/>
      <c r="D369" s="81"/>
      <c r="E369" s="81"/>
      <c r="F369" s="9"/>
      <c r="G369" s="9"/>
      <c r="H369" s="9"/>
    </row>
    <row r="370" spans="2:8">
      <c r="B370" s="81"/>
      <c r="C370" s="81"/>
      <c r="D370" s="81"/>
      <c r="E370" s="81"/>
      <c r="F370" s="9"/>
      <c r="G370" s="9"/>
      <c r="H370" s="9"/>
    </row>
    <row r="371" spans="2:8">
      <c r="B371" s="81"/>
      <c r="C371" s="81"/>
      <c r="D371" s="81"/>
      <c r="E371" s="81"/>
      <c r="F371" s="9"/>
      <c r="G371" s="9"/>
      <c r="H371" s="9"/>
    </row>
    <row r="372" spans="2:8">
      <c r="B372" s="82"/>
      <c r="C372" s="82"/>
      <c r="D372" s="82"/>
      <c r="E372" s="82"/>
      <c r="F372" s="9"/>
      <c r="G372" s="9"/>
      <c r="H372" s="9"/>
    </row>
    <row r="373" spans="2:8">
      <c r="B373" s="37"/>
      <c r="C373" s="37"/>
      <c r="D373" s="37"/>
      <c r="E373" s="37"/>
      <c r="F373" s="9"/>
      <c r="G373" s="9"/>
      <c r="H373" s="9"/>
    </row>
    <row r="374" spans="2:8">
      <c r="B374" s="37"/>
      <c r="C374" s="37"/>
      <c r="D374" s="37"/>
      <c r="E374" s="37"/>
      <c r="F374" s="9"/>
      <c r="G374" s="9"/>
      <c r="H374" s="9"/>
    </row>
    <row r="375" spans="2:8">
      <c r="B375" s="80"/>
      <c r="C375" s="80"/>
      <c r="D375" s="80"/>
      <c r="E375" s="80"/>
      <c r="F375" s="9"/>
      <c r="G375" s="9"/>
      <c r="H375" s="9"/>
    </row>
    <row r="376" spans="2:8">
      <c r="B376" s="81"/>
      <c r="C376" s="81"/>
      <c r="D376" s="81"/>
      <c r="E376" s="81"/>
      <c r="F376" s="9"/>
      <c r="G376" s="9"/>
      <c r="H376" s="9"/>
    </row>
    <row r="377" spans="2:8">
      <c r="B377" s="81"/>
      <c r="C377" s="81"/>
      <c r="D377" s="81"/>
      <c r="E377" s="81"/>
      <c r="F377" s="9"/>
      <c r="G377" s="9"/>
      <c r="H377" s="9"/>
    </row>
    <row r="378" spans="2:8">
      <c r="B378" s="82"/>
      <c r="C378" s="82"/>
      <c r="D378" s="82"/>
      <c r="E378" s="82"/>
      <c r="F378" s="9"/>
      <c r="G378" s="9"/>
      <c r="H378" s="9"/>
    </row>
    <row r="379" spans="2:8">
      <c r="B379" s="37"/>
      <c r="C379" s="37"/>
      <c r="D379" s="37"/>
      <c r="E379" s="37"/>
      <c r="F379" s="9"/>
      <c r="G379" s="9"/>
      <c r="H379" s="9"/>
    </row>
    <row r="380" spans="2:8">
      <c r="B380" s="80"/>
      <c r="C380" s="80"/>
      <c r="D380" s="80"/>
      <c r="E380" s="80"/>
      <c r="F380" s="9"/>
      <c r="G380" s="9"/>
      <c r="H380" s="9"/>
    </row>
    <row r="381" spans="2:8">
      <c r="B381" s="82"/>
      <c r="C381" s="82"/>
      <c r="D381" s="82"/>
      <c r="E381" s="82"/>
      <c r="F381" s="9"/>
      <c r="G381" s="9"/>
      <c r="H381" s="9"/>
    </row>
    <row r="382" spans="2:8">
      <c r="B382" s="37"/>
      <c r="C382" s="37"/>
      <c r="D382" s="37"/>
      <c r="E382" s="37"/>
      <c r="F382" s="9"/>
      <c r="G382" s="9"/>
      <c r="H382" s="9"/>
    </row>
    <row r="383" spans="2:8">
      <c r="B383" s="37"/>
      <c r="C383" s="37"/>
      <c r="D383" s="37"/>
      <c r="E383" s="37"/>
      <c r="F383" s="9"/>
      <c r="G383" s="9"/>
      <c r="H383" s="9"/>
    </row>
    <row r="384" spans="2:8">
      <c r="B384" s="37"/>
      <c r="C384" s="37"/>
      <c r="D384" s="37"/>
      <c r="E384" s="37"/>
      <c r="F384" s="9"/>
      <c r="G384" s="9"/>
      <c r="H384" s="9"/>
    </row>
    <row r="385" spans="2:8">
      <c r="B385" s="37"/>
      <c r="C385" s="37"/>
      <c r="D385" s="37"/>
      <c r="E385" s="37"/>
      <c r="F385" s="9"/>
      <c r="G385" s="9"/>
      <c r="H385" s="9"/>
    </row>
    <row r="386" spans="2:8">
      <c r="B386" s="37"/>
      <c r="C386" s="37"/>
      <c r="D386" s="37"/>
      <c r="E386" s="37"/>
      <c r="F386" s="9"/>
      <c r="G386" s="9"/>
      <c r="H386" s="9"/>
    </row>
    <row r="387" spans="2:8">
      <c r="B387" s="37"/>
      <c r="C387" s="37"/>
      <c r="D387" s="37"/>
      <c r="E387" s="37"/>
      <c r="F387" s="9"/>
      <c r="G387" s="9"/>
      <c r="H387" s="9"/>
    </row>
  </sheetData>
  <mergeCells count="292">
    <mergeCell ref="B380:B381"/>
    <mergeCell ref="C380:C381"/>
    <mergeCell ref="D380:D381"/>
    <mergeCell ref="E380:E381"/>
    <mergeCell ref="B368:B372"/>
    <mergeCell ref="C368:C372"/>
    <mergeCell ref="D368:D372"/>
    <mergeCell ref="E368:E372"/>
    <mergeCell ref="B375:B378"/>
    <mergeCell ref="C375:C378"/>
    <mergeCell ref="D375:D378"/>
    <mergeCell ref="E375:E378"/>
    <mergeCell ref="B356:B358"/>
    <mergeCell ref="C356:C358"/>
    <mergeCell ref="D356:D358"/>
    <mergeCell ref="E356:E358"/>
    <mergeCell ref="B360:B366"/>
    <mergeCell ref="C360:C366"/>
    <mergeCell ref="D360:D366"/>
    <mergeCell ref="E360:E366"/>
    <mergeCell ref="B347:B350"/>
    <mergeCell ref="C347:C350"/>
    <mergeCell ref="D347:D350"/>
    <mergeCell ref="E347:E350"/>
    <mergeCell ref="B351:B355"/>
    <mergeCell ref="C351:C355"/>
    <mergeCell ref="D351:D355"/>
    <mergeCell ref="E351:E355"/>
    <mergeCell ref="B336:B337"/>
    <mergeCell ref="C336:C337"/>
    <mergeCell ref="D336:D337"/>
    <mergeCell ref="E336:E337"/>
    <mergeCell ref="B340:B342"/>
    <mergeCell ref="C340:C342"/>
    <mergeCell ref="D340:D342"/>
    <mergeCell ref="E340:E342"/>
    <mergeCell ref="B325:B327"/>
    <mergeCell ref="C325:C327"/>
    <mergeCell ref="D325:D327"/>
    <mergeCell ref="E325:E327"/>
    <mergeCell ref="B331:B335"/>
    <mergeCell ref="C331:C335"/>
    <mergeCell ref="D331:D335"/>
    <mergeCell ref="E331:E335"/>
    <mergeCell ref="B315:B316"/>
    <mergeCell ref="C315:C316"/>
    <mergeCell ref="D315:D316"/>
    <mergeCell ref="E315:E316"/>
    <mergeCell ref="B319:B321"/>
    <mergeCell ref="C319:C321"/>
    <mergeCell ref="D319:D321"/>
    <mergeCell ref="E319:E321"/>
    <mergeCell ref="B309:B310"/>
    <mergeCell ref="C309:C310"/>
    <mergeCell ref="D309:D310"/>
    <mergeCell ref="E309:E310"/>
    <mergeCell ref="B311:B312"/>
    <mergeCell ref="C311:C312"/>
    <mergeCell ref="D311:D312"/>
    <mergeCell ref="E311:E312"/>
    <mergeCell ref="B301:B302"/>
    <mergeCell ref="C301:C302"/>
    <mergeCell ref="D301:D302"/>
    <mergeCell ref="E301:E302"/>
    <mergeCell ref="B304:B306"/>
    <mergeCell ref="C304:C306"/>
    <mergeCell ref="D304:D306"/>
    <mergeCell ref="E304:E306"/>
    <mergeCell ref="B296:B297"/>
    <mergeCell ref="C296:C297"/>
    <mergeCell ref="D296:D297"/>
    <mergeCell ref="E296:E297"/>
    <mergeCell ref="B299:B300"/>
    <mergeCell ref="C299:C300"/>
    <mergeCell ref="D299:D300"/>
    <mergeCell ref="E299:E300"/>
    <mergeCell ref="B285:B287"/>
    <mergeCell ref="C285:C287"/>
    <mergeCell ref="D285:D287"/>
    <mergeCell ref="E285:E287"/>
    <mergeCell ref="B289:B295"/>
    <mergeCell ref="C289:C295"/>
    <mergeCell ref="D289:D295"/>
    <mergeCell ref="E289:E295"/>
    <mergeCell ref="B279:B282"/>
    <mergeCell ref="C279:C282"/>
    <mergeCell ref="D279:D282"/>
    <mergeCell ref="E279:E282"/>
    <mergeCell ref="B283:B284"/>
    <mergeCell ref="C283:C284"/>
    <mergeCell ref="D283:D284"/>
    <mergeCell ref="E283:E284"/>
    <mergeCell ref="B271:B272"/>
    <mergeCell ref="C271:C272"/>
    <mergeCell ref="D271:D272"/>
    <mergeCell ref="E271:E272"/>
    <mergeCell ref="B275:B277"/>
    <mergeCell ref="C275:C277"/>
    <mergeCell ref="D275:D277"/>
    <mergeCell ref="E275:E277"/>
    <mergeCell ref="B259:B267"/>
    <mergeCell ref="C259:C267"/>
    <mergeCell ref="D259:D267"/>
    <mergeCell ref="E259:E267"/>
    <mergeCell ref="B268:B269"/>
    <mergeCell ref="C268:C269"/>
    <mergeCell ref="D268:D269"/>
    <mergeCell ref="E268:E269"/>
    <mergeCell ref="B240:B249"/>
    <mergeCell ref="C240:C249"/>
    <mergeCell ref="D240:D249"/>
    <mergeCell ref="E240:E249"/>
    <mergeCell ref="B250:B258"/>
    <mergeCell ref="C250:C258"/>
    <mergeCell ref="D250:D258"/>
    <mergeCell ref="E250:E258"/>
    <mergeCell ref="B222:B229"/>
    <mergeCell ref="C222:C229"/>
    <mergeCell ref="D222:D229"/>
    <mergeCell ref="E222:E229"/>
    <mergeCell ref="B230:B239"/>
    <mergeCell ref="C230:C239"/>
    <mergeCell ref="D230:D239"/>
    <mergeCell ref="E230:E239"/>
    <mergeCell ref="B203:B211"/>
    <mergeCell ref="C203:C211"/>
    <mergeCell ref="D203:D211"/>
    <mergeCell ref="E203:E211"/>
    <mergeCell ref="B213:B221"/>
    <mergeCell ref="C213:C221"/>
    <mergeCell ref="D213:D221"/>
    <mergeCell ref="E213:E221"/>
    <mergeCell ref="B182:B194"/>
    <mergeCell ref="C182:C194"/>
    <mergeCell ref="D182:D194"/>
    <mergeCell ref="E182:E194"/>
    <mergeCell ref="B197:B202"/>
    <mergeCell ref="C197:C202"/>
    <mergeCell ref="D197:D202"/>
    <mergeCell ref="E197:E202"/>
    <mergeCell ref="B162:B164"/>
    <mergeCell ref="C162:C164"/>
    <mergeCell ref="D162:D164"/>
    <mergeCell ref="E162:E164"/>
    <mergeCell ref="B165:B179"/>
    <mergeCell ref="C165:C179"/>
    <mergeCell ref="D165:D179"/>
    <mergeCell ref="E165:E179"/>
    <mergeCell ref="B157:B158"/>
    <mergeCell ref="C157:C158"/>
    <mergeCell ref="D157:D158"/>
    <mergeCell ref="E157:E158"/>
    <mergeCell ref="B159:B161"/>
    <mergeCell ref="C159:C161"/>
    <mergeCell ref="D159:D161"/>
    <mergeCell ref="E159:E161"/>
    <mergeCell ref="B145:B153"/>
    <mergeCell ref="C145:C153"/>
    <mergeCell ref="D145:D153"/>
    <mergeCell ref="E145:E153"/>
    <mergeCell ref="B154:B155"/>
    <mergeCell ref="C154:C155"/>
    <mergeCell ref="D154:D155"/>
    <mergeCell ref="E154:E155"/>
    <mergeCell ref="B140:B141"/>
    <mergeCell ref="C140:C141"/>
    <mergeCell ref="D140:D141"/>
    <mergeCell ref="E140:E141"/>
    <mergeCell ref="B142:B143"/>
    <mergeCell ref="C142:C143"/>
    <mergeCell ref="D142:D143"/>
    <mergeCell ref="E142:E143"/>
    <mergeCell ref="B134:B135"/>
    <mergeCell ref="C134:C135"/>
    <mergeCell ref="D134:D135"/>
    <mergeCell ref="E134:E135"/>
    <mergeCell ref="B136:B137"/>
    <mergeCell ref="C136:C137"/>
    <mergeCell ref="D136:D137"/>
    <mergeCell ref="E136:E137"/>
    <mergeCell ref="B127:B129"/>
    <mergeCell ref="C127:C129"/>
    <mergeCell ref="D127:D129"/>
    <mergeCell ref="E127:E129"/>
    <mergeCell ref="B131:B133"/>
    <mergeCell ref="C131:C133"/>
    <mergeCell ref="D131:D133"/>
    <mergeCell ref="E131:E133"/>
    <mergeCell ref="B120:B122"/>
    <mergeCell ref="C120:C122"/>
    <mergeCell ref="D120:D122"/>
    <mergeCell ref="E120:E122"/>
    <mergeCell ref="B125:B126"/>
    <mergeCell ref="C125:C126"/>
    <mergeCell ref="D125:D126"/>
    <mergeCell ref="E125:E126"/>
    <mergeCell ref="B114:B116"/>
    <mergeCell ref="C114:C116"/>
    <mergeCell ref="D114:D116"/>
    <mergeCell ref="E114:E116"/>
    <mergeCell ref="B117:B119"/>
    <mergeCell ref="C117:C119"/>
    <mergeCell ref="D117:D119"/>
    <mergeCell ref="E117:E119"/>
    <mergeCell ref="B110:B111"/>
    <mergeCell ref="C110:C111"/>
    <mergeCell ref="D110:D111"/>
    <mergeCell ref="E110:E111"/>
    <mergeCell ref="B112:B113"/>
    <mergeCell ref="C112:C113"/>
    <mergeCell ref="D112:D113"/>
    <mergeCell ref="E112:E113"/>
    <mergeCell ref="B105:B107"/>
    <mergeCell ref="C105:C107"/>
    <mergeCell ref="D105:D107"/>
    <mergeCell ref="E105:E107"/>
    <mergeCell ref="B108:B109"/>
    <mergeCell ref="C108:C109"/>
    <mergeCell ref="D108:D109"/>
    <mergeCell ref="E108:E109"/>
    <mergeCell ref="B85:B87"/>
    <mergeCell ref="C85:C87"/>
    <mergeCell ref="D85:D87"/>
    <mergeCell ref="E85:E87"/>
    <mergeCell ref="B88:B103"/>
    <mergeCell ref="C88:C103"/>
    <mergeCell ref="D88:D103"/>
    <mergeCell ref="E88:E103"/>
    <mergeCell ref="B79:B80"/>
    <mergeCell ref="C79:C80"/>
    <mergeCell ref="D79:D80"/>
    <mergeCell ref="E79:E80"/>
    <mergeCell ref="B83:B84"/>
    <mergeCell ref="C83:C84"/>
    <mergeCell ref="D83:D84"/>
    <mergeCell ref="E83:E84"/>
    <mergeCell ref="B72:B74"/>
    <mergeCell ref="C72:C74"/>
    <mergeCell ref="D72:D74"/>
    <mergeCell ref="E72:E74"/>
    <mergeCell ref="B76:B78"/>
    <mergeCell ref="C76:C78"/>
    <mergeCell ref="D76:D78"/>
    <mergeCell ref="E76:E78"/>
    <mergeCell ref="B56:B59"/>
    <mergeCell ref="C56:C59"/>
    <mergeCell ref="D56:D59"/>
    <mergeCell ref="E56:E59"/>
    <mergeCell ref="B60:B71"/>
    <mergeCell ref="C60:C71"/>
    <mergeCell ref="D60:D71"/>
    <mergeCell ref="E60:E71"/>
    <mergeCell ref="B51:B52"/>
    <mergeCell ref="C51:C52"/>
    <mergeCell ref="D51:D52"/>
    <mergeCell ref="E51:E52"/>
    <mergeCell ref="B53:B55"/>
    <mergeCell ref="C53:C55"/>
    <mergeCell ref="D53:D55"/>
    <mergeCell ref="E53:E55"/>
    <mergeCell ref="B38:B46"/>
    <mergeCell ref="C38:C46"/>
    <mergeCell ref="D38:D46"/>
    <mergeCell ref="E38:E46"/>
    <mergeCell ref="B47:B50"/>
    <mergeCell ref="C47:C50"/>
    <mergeCell ref="D47:D50"/>
    <mergeCell ref="E47:E50"/>
    <mergeCell ref="B33:B37"/>
    <mergeCell ref="C33:C37"/>
    <mergeCell ref="D33:D37"/>
    <mergeCell ref="E33:E37"/>
    <mergeCell ref="B16:B27"/>
    <mergeCell ref="C16:C27"/>
    <mergeCell ref="D16:D27"/>
    <mergeCell ref="E16:E27"/>
    <mergeCell ref="B28:B30"/>
    <mergeCell ref="C28:C30"/>
    <mergeCell ref="D28:D30"/>
    <mergeCell ref="E28:E30"/>
    <mergeCell ref="B6:B11"/>
    <mergeCell ref="C6:C11"/>
    <mergeCell ref="D6:D11"/>
    <mergeCell ref="E6:E11"/>
    <mergeCell ref="B12:B15"/>
    <mergeCell ref="C12:C15"/>
    <mergeCell ref="D12:D15"/>
    <mergeCell ref="E12:E15"/>
    <mergeCell ref="B31:B32"/>
    <mergeCell ref="C31:C32"/>
    <mergeCell ref="D31:D32"/>
    <mergeCell ref="E31:E32"/>
  </mergeCells>
  <phoneticPr fontId="10" type="noConversion"/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cmdDebug">
          <controlPr defaultSize="0" autoLine="0" autoPict="0" r:id="rId5">
            <anchor moveWithCells="1">
              <from>
                <xdr:col>3</xdr:col>
                <xdr:colOff>495300</xdr:colOff>
                <xdr:row>0</xdr:row>
                <xdr:rowOff>57150</xdr:rowOff>
              </from>
              <to>
                <xdr:col>3</xdr:col>
                <xdr:colOff>1562100</xdr:colOff>
                <xdr:row>1</xdr:row>
                <xdr:rowOff>123825</xdr:rowOff>
              </to>
            </anchor>
          </controlPr>
        </control>
      </mc:Choice>
      <mc:Fallback>
        <control shapeId="8193" r:id="rId4" name="cmdDebug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42"/>
  <sheetViews>
    <sheetView showGridLines="0" workbookViewId="0">
      <pane xSplit="1" ySplit="5" topLeftCell="B6" activePane="bottomRight" state="frozen"/>
      <selection pane="topRight" activeCell="B1" sqref="B1"/>
      <selection pane="bottomLeft" activeCell="A4" sqref="A4"/>
      <selection pane="bottomRight" activeCell="B27" sqref="B27"/>
    </sheetView>
  </sheetViews>
  <sheetFormatPr defaultRowHeight="15"/>
  <cols>
    <col min="1" max="1" width="2" customWidth="1"/>
    <col min="2" max="2" width="13.140625" customWidth="1"/>
    <col min="3" max="3" width="41.85546875" customWidth="1"/>
    <col min="4" max="4" width="12" customWidth="1"/>
    <col min="5" max="5" width="2" customWidth="1"/>
    <col min="6" max="6" width="11.42578125" style="44" customWidth="1"/>
    <col min="7" max="7" width="13.5703125" style="44" customWidth="1"/>
    <col min="8" max="8" width="12" style="44" customWidth="1"/>
    <col min="9" max="9" width="15.7109375" style="44" customWidth="1"/>
    <col min="10" max="10" width="16.42578125" style="44" customWidth="1"/>
    <col min="11" max="11" width="17.28515625" style="44" bestFit="1" customWidth="1"/>
    <col min="12" max="12" width="24.140625" style="44" customWidth="1"/>
    <col min="13" max="13" width="27.140625" style="44" bestFit="1" customWidth="1"/>
    <col min="14" max="15" width="27.140625" bestFit="1" customWidth="1"/>
  </cols>
  <sheetData>
    <row r="1" spans="1:19" ht="6" customHeight="1"/>
    <row r="2" spans="1:19" ht="29.25" customHeight="1">
      <c r="B2" s="89" t="s">
        <v>352</v>
      </c>
      <c r="C2" s="89"/>
      <c r="D2" s="46"/>
    </row>
    <row r="3" spans="1:19" ht="6.75" customHeight="1"/>
    <row r="4" spans="1:19" s="36" customFormat="1">
      <c r="A4" s="18">
        <v>1</v>
      </c>
      <c r="B4" s="18">
        <f>A4+1</f>
        <v>2</v>
      </c>
      <c r="C4" s="18">
        <f t="shared" ref="C4:D4" si="0">B4+1</f>
        <v>3</v>
      </c>
      <c r="D4" s="18">
        <f t="shared" si="0"/>
        <v>4</v>
      </c>
      <c r="E4" s="18">
        <f t="shared" ref="E4" si="1">D4+1</f>
        <v>5</v>
      </c>
      <c r="F4" s="18">
        <f t="shared" ref="F4" si="2">E4+1</f>
        <v>6</v>
      </c>
      <c r="G4" s="18">
        <f t="shared" ref="G4" si="3">F4+1</f>
        <v>7</v>
      </c>
      <c r="H4" s="18">
        <f t="shared" ref="H4" si="4">G4+1</f>
        <v>8</v>
      </c>
      <c r="I4" s="18">
        <f t="shared" ref="I4" si="5">H4+1</f>
        <v>9</v>
      </c>
      <c r="J4" s="18">
        <f t="shared" ref="J4" si="6">I4+1</f>
        <v>10</v>
      </c>
      <c r="K4" s="18">
        <f t="shared" ref="K4" si="7">J4+1</f>
        <v>11</v>
      </c>
      <c r="L4" s="18">
        <f t="shared" ref="L4" si="8">K4+1</f>
        <v>12</v>
      </c>
      <c r="M4" s="18">
        <f t="shared" ref="M4" si="9">L4+1</f>
        <v>13</v>
      </c>
      <c r="N4" s="18">
        <f t="shared" ref="N4" si="10">M4+1</f>
        <v>14</v>
      </c>
      <c r="O4" s="18">
        <f t="shared" ref="O4" si="11">N4+1</f>
        <v>15</v>
      </c>
      <c r="P4" s="18">
        <f t="shared" ref="P4" si="12">O4+1</f>
        <v>16</v>
      </c>
      <c r="Q4" s="18">
        <f t="shared" ref="Q4" si="13">P4+1</f>
        <v>17</v>
      </c>
      <c r="R4" s="18">
        <f t="shared" ref="R4" si="14">Q4+1</f>
        <v>18</v>
      </c>
      <c r="S4" s="18">
        <f t="shared" ref="S4" si="15">R4+1</f>
        <v>19</v>
      </c>
    </row>
    <row r="5" spans="1:19" s="42" customFormat="1" ht="19.5" customHeight="1">
      <c r="A5" s="43"/>
      <c r="B5" s="43" t="s">
        <v>21</v>
      </c>
      <c r="C5" s="43" t="s">
        <v>22</v>
      </c>
      <c r="D5" s="43" t="s">
        <v>358</v>
      </c>
      <c r="E5" s="43"/>
      <c r="F5" s="43" t="s">
        <v>359</v>
      </c>
      <c r="G5" s="43" t="s">
        <v>344</v>
      </c>
      <c r="H5" s="43" t="s">
        <v>348</v>
      </c>
      <c r="I5" s="43" t="s">
        <v>345</v>
      </c>
      <c r="J5" s="43" t="s">
        <v>346</v>
      </c>
      <c r="K5" s="43" t="s">
        <v>360</v>
      </c>
      <c r="L5" s="43" t="s">
        <v>349</v>
      </c>
      <c r="M5" s="43" t="s">
        <v>347</v>
      </c>
      <c r="N5" s="43" t="s">
        <v>361</v>
      </c>
      <c r="O5" s="43" t="s">
        <v>351</v>
      </c>
    </row>
    <row r="6" spans="1:19">
      <c r="A6" s="39"/>
      <c r="B6" s="39" t="s">
        <v>176</v>
      </c>
      <c r="C6" s="39" t="s">
        <v>177</v>
      </c>
      <c r="D6" s="39"/>
      <c r="E6" s="39"/>
      <c r="F6" s="45" t="s">
        <v>355</v>
      </c>
      <c r="G6" s="45"/>
      <c r="H6" s="45"/>
      <c r="I6" s="45"/>
      <c r="J6" s="45"/>
      <c r="K6" s="45"/>
      <c r="L6" s="45"/>
      <c r="M6" s="45"/>
      <c r="N6" s="47"/>
      <c r="O6" s="47"/>
    </row>
    <row r="7" spans="1:19">
      <c r="A7" s="39"/>
      <c r="B7" s="39" t="s">
        <v>179</v>
      </c>
      <c r="C7" s="39" t="s">
        <v>180</v>
      </c>
      <c r="D7" s="39"/>
      <c r="E7" s="39"/>
      <c r="F7" s="45" t="s">
        <v>355</v>
      </c>
      <c r="G7" s="45"/>
      <c r="H7" s="45"/>
      <c r="I7" s="45"/>
      <c r="J7" s="45"/>
      <c r="K7" s="45"/>
      <c r="L7" s="45"/>
      <c r="M7" s="45"/>
      <c r="N7" s="47"/>
      <c r="O7" s="47"/>
    </row>
    <row r="8" spans="1:19">
      <c r="A8" s="39"/>
      <c r="B8" s="39" t="s">
        <v>184</v>
      </c>
      <c r="C8" s="39" t="s">
        <v>185</v>
      </c>
      <c r="D8" s="39"/>
      <c r="E8" s="39"/>
      <c r="F8" s="45" t="s">
        <v>355</v>
      </c>
      <c r="G8" s="45"/>
      <c r="H8" s="45"/>
      <c r="I8" s="45"/>
      <c r="J8" s="45"/>
      <c r="K8" s="45"/>
      <c r="L8" s="45"/>
      <c r="M8" s="45"/>
      <c r="N8" s="47"/>
      <c r="O8" s="47"/>
    </row>
    <row r="9" spans="1:19">
      <c r="A9" s="39"/>
      <c r="B9" s="39" t="s">
        <v>210</v>
      </c>
      <c r="C9" s="39" t="s">
        <v>211</v>
      </c>
      <c r="D9" s="39"/>
      <c r="E9" s="39"/>
      <c r="F9" s="45" t="s">
        <v>355</v>
      </c>
      <c r="G9" s="45"/>
      <c r="H9" s="45"/>
      <c r="I9" s="45"/>
      <c r="J9" s="45"/>
      <c r="K9" s="45"/>
      <c r="L9" s="45"/>
      <c r="M9" s="45"/>
      <c r="N9" s="47"/>
      <c r="O9" s="47"/>
    </row>
    <row r="10" spans="1:19">
      <c r="A10" s="39"/>
      <c r="B10" s="39" t="s">
        <v>218</v>
      </c>
      <c r="C10" s="39" t="s">
        <v>219</v>
      </c>
      <c r="D10" s="39"/>
      <c r="E10" s="39"/>
      <c r="F10" s="45" t="s">
        <v>355</v>
      </c>
      <c r="G10" s="45"/>
      <c r="H10" s="45"/>
      <c r="I10" s="45"/>
      <c r="J10" s="45"/>
      <c r="K10" s="45"/>
      <c r="L10" s="45"/>
      <c r="M10" s="45"/>
      <c r="N10" s="47"/>
      <c r="O10" s="47"/>
    </row>
    <row r="11" spans="1:19">
      <c r="A11" s="39"/>
      <c r="B11" s="39" t="s">
        <v>221</v>
      </c>
      <c r="C11" s="39" t="s">
        <v>222</v>
      </c>
      <c r="D11" s="39"/>
      <c r="E11" s="39"/>
      <c r="F11" s="45" t="s">
        <v>355</v>
      </c>
      <c r="G11" s="45"/>
      <c r="H11" s="45"/>
      <c r="I11" s="45"/>
      <c r="J11" s="45"/>
      <c r="K11" s="45"/>
      <c r="L11" s="45"/>
      <c r="M11" s="45"/>
      <c r="N11" s="47"/>
      <c r="O11" s="47"/>
    </row>
    <row r="12" spans="1:19">
      <c r="A12" s="39"/>
      <c r="B12" s="39" t="s">
        <v>229</v>
      </c>
      <c r="C12" s="39" t="s">
        <v>230</v>
      </c>
      <c r="D12" s="39"/>
      <c r="E12" s="39"/>
      <c r="F12" s="45" t="s">
        <v>355</v>
      </c>
      <c r="G12" s="45"/>
      <c r="H12" s="45"/>
      <c r="I12" s="45"/>
      <c r="J12" s="45"/>
      <c r="K12" s="45"/>
      <c r="L12" s="45"/>
      <c r="M12" s="45"/>
      <c r="N12" s="47"/>
      <c r="O12" s="47"/>
    </row>
    <row r="13" spans="1:19">
      <c r="A13" s="39"/>
      <c r="B13" s="39" t="s">
        <v>243</v>
      </c>
      <c r="C13" s="39" t="s">
        <v>244</v>
      </c>
      <c r="D13" s="39"/>
      <c r="E13" s="39"/>
      <c r="F13" s="45" t="s">
        <v>355</v>
      </c>
      <c r="G13" s="45"/>
      <c r="H13" s="45"/>
      <c r="I13" s="45"/>
      <c r="J13" s="45"/>
      <c r="K13" s="45"/>
      <c r="L13" s="45"/>
      <c r="M13" s="45"/>
      <c r="N13" s="47"/>
      <c r="O13" s="47"/>
    </row>
    <row r="14" spans="1:19">
      <c r="A14" s="39"/>
      <c r="B14" s="39" t="s">
        <v>247</v>
      </c>
      <c r="C14" s="39" t="s">
        <v>248</v>
      </c>
      <c r="D14" s="39"/>
      <c r="E14" s="39"/>
      <c r="F14" s="45" t="s">
        <v>355</v>
      </c>
      <c r="G14" s="45"/>
      <c r="H14" s="45"/>
      <c r="I14" s="45"/>
      <c r="J14" s="45"/>
      <c r="K14" s="45"/>
      <c r="L14" s="45"/>
      <c r="M14" s="45"/>
      <c r="N14" s="47"/>
      <c r="O14" s="47"/>
    </row>
    <row r="15" spans="1:19">
      <c r="A15" s="39"/>
      <c r="B15" s="39" t="s">
        <v>252</v>
      </c>
      <c r="C15" s="39" t="s">
        <v>253</v>
      </c>
      <c r="D15" s="39"/>
      <c r="E15" s="39"/>
      <c r="F15" s="45" t="s">
        <v>355</v>
      </c>
      <c r="G15" s="45"/>
      <c r="H15" s="45"/>
      <c r="I15" s="45"/>
      <c r="J15" s="45"/>
      <c r="K15" s="45"/>
      <c r="L15" s="45"/>
      <c r="M15" s="45"/>
      <c r="N15" s="47"/>
      <c r="O15" s="47"/>
    </row>
    <row r="16" spans="1:19">
      <c r="A16" s="39"/>
      <c r="B16" s="39" t="s">
        <v>259</v>
      </c>
      <c r="C16" s="39" t="s">
        <v>260</v>
      </c>
      <c r="D16" s="39"/>
      <c r="E16" s="39"/>
      <c r="F16" s="45" t="s">
        <v>355</v>
      </c>
      <c r="G16" s="45"/>
      <c r="H16" s="45"/>
      <c r="I16" s="45"/>
      <c r="J16" s="45"/>
      <c r="K16" s="45"/>
      <c r="L16" s="45"/>
      <c r="M16" s="45"/>
      <c r="N16" s="47"/>
      <c r="O16" s="47"/>
    </row>
    <row r="17" spans="1:15">
      <c r="A17" s="39"/>
      <c r="B17" s="39" t="s">
        <v>267</v>
      </c>
      <c r="C17" s="39" t="s">
        <v>268</v>
      </c>
      <c r="D17" s="39"/>
      <c r="E17" s="39"/>
      <c r="F17" s="45" t="s">
        <v>355</v>
      </c>
      <c r="G17" s="45"/>
      <c r="H17" s="45"/>
      <c r="I17" s="45"/>
      <c r="J17" s="45"/>
      <c r="K17" s="45"/>
      <c r="L17" s="45"/>
      <c r="M17" s="45"/>
      <c r="N17" s="47"/>
      <c r="O17" s="47"/>
    </row>
    <row r="18" spans="1:15">
      <c r="A18" s="39"/>
      <c r="B18" s="39" t="s">
        <v>274</v>
      </c>
      <c r="C18" s="39" t="s">
        <v>275</v>
      </c>
      <c r="D18" s="39"/>
      <c r="E18" s="39"/>
      <c r="F18" s="45" t="s">
        <v>355</v>
      </c>
      <c r="G18" s="45"/>
      <c r="H18" s="45"/>
      <c r="I18" s="45"/>
      <c r="J18" s="45"/>
      <c r="K18" s="45"/>
      <c r="L18" s="45"/>
      <c r="M18" s="45"/>
      <c r="N18" s="47"/>
      <c r="O18" s="47"/>
    </row>
    <row r="19" spans="1:15">
      <c r="A19" s="39"/>
      <c r="B19" s="39" t="s">
        <v>279</v>
      </c>
      <c r="C19" s="39" t="s">
        <v>280</v>
      </c>
      <c r="D19" s="39"/>
      <c r="E19" s="39"/>
      <c r="F19" s="45" t="s">
        <v>355</v>
      </c>
      <c r="G19" s="45"/>
      <c r="H19" s="45"/>
      <c r="I19" s="45"/>
      <c r="J19" s="45"/>
      <c r="K19" s="45"/>
      <c r="L19" s="45"/>
      <c r="M19" s="45"/>
      <c r="N19" s="47"/>
      <c r="O19" s="47"/>
    </row>
    <row r="20" spans="1:15">
      <c r="A20" s="39"/>
      <c r="B20" s="39" t="s">
        <v>282</v>
      </c>
      <c r="C20" s="39" t="s">
        <v>283</v>
      </c>
      <c r="D20" s="39"/>
      <c r="E20" s="39"/>
      <c r="F20" s="45" t="s">
        <v>355</v>
      </c>
      <c r="G20" s="45"/>
      <c r="H20" s="45"/>
      <c r="I20" s="45"/>
      <c r="J20" s="45"/>
      <c r="K20" s="45"/>
      <c r="L20" s="45"/>
      <c r="M20" s="45"/>
      <c r="N20" s="47"/>
      <c r="O20" s="47"/>
    </row>
    <row r="21" spans="1:15">
      <c r="A21" s="39"/>
      <c r="B21" s="39" t="s">
        <v>289</v>
      </c>
      <c r="C21" s="39" t="s">
        <v>290</v>
      </c>
      <c r="D21" s="39"/>
      <c r="E21" s="39"/>
      <c r="F21" s="45" t="s">
        <v>355</v>
      </c>
      <c r="G21" s="45"/>
      <c r="H21" s="45"/>
      <c r="I21" s="45"/>
      <c r="J21" s="45"/>
      <c r="K21" s="45"/>
      <c r="L21" s="45"/>
      <c r="M21" s="45"/>
      <c r="N21" s="47"/>
      <c r="O21" s="47"/>
    </row>
    <row r="22" spans="1:15">
      <c r="A22" s="39"/>
      <c r="B22" s="39" t="s">
        <v>293</v>
      </c>
      <c r="C22" s="39" t="s">
        <v>294</v>
      </c>
      <c r="D22" s="39"/>
      <c r="E22" s="39"/>
      <c r="F22" s="45" t="s">
        <v>355</v>
      </c>
      <c r="G22" s="45"/>
      <c r="H22" s="45"/>
      <c r="I22" s="45"/>
      <c r="J22" s="45"/>
      <c r="K22" s="45"/>
      <c r="L22" s="45"/>
      <c r="M22" s="45"/>
      <c r="N22" s="47"/>
      <c r="O22" s="47"/>
    </row>
    <row r="23" spans="1:15">
      <c r="A23" s="39"/>
      <c r="B23" s="39" t="s">
        <v>297</v>
      </c>
      <c r="C23" s="39" t="s">
        <v>298</v>
      </c>
      <c r="D23" s="39"/>
      <c r="E23" s="39"/>
      <c r="F23" s="45" t="s">
        <v>355</v>
      </c>
      <c r="G23" s="45"/>
      <c r="H23" s="45"/>
      <c r="I23" s="45"/>
      <c r="J23" s="45"/>
      <c r="K23" s="45"/>
      <c r="L23" s="45"/>
      <c r="M23" s="45"/>
      <c r="N23" s="47"/>
      <c r="O23" s="47"/>
    </row>
    <row r="24" spans="1:15">
      <c r="A24" s="39"/>
      <c r="B24" s="39" t="s">
        <v>300</v>
      </c>
      <c r="C24" s="39" t="s">
        <v>301</v>
      </c>
      <c r="D24" s="39"/>
      <c r="E24" s="39"/>
      <c r="F24" s="45" t="s">
        <v>355</v>
      </c>
      <c r="G24" s="45"/>
      <c r="H24" s="45"/>
      <c r="I24" s="45"/>
      <c r="J24" s="45"/>
      <c r="K24" s="45"/>
      <c r="L24" s="45"/>
      <c r="M24" s="45"/>
      <c r="N24" s="47"/>
      <c r="O24" s="47"/>
    </row>
    <row r="25" spans="1:15">
      <c r="A25" s="39"/>
      <c r="B25" s="39" t="s">
        <v>305</v>
      </c>
      <c r="C25" s="39" t="s">
        <v>306</v>
      </c>
      <c r="D25" s="39"/>
      <c r="E25" s="39"/>
      <c r="F25" s="45" t="s">
        <v>355</v>
      </c>
      <c r="G25" s="45"/>
      <c r="H25" s="45"/>
      <c r="I25" s="45"/>
      <c r="J25" s="45"/>
      <c r="K25" s="45"/>
      <c r="L25" s="45"/>
      <c r="M25" s="45"/>
      <c r="N25" s="47"/>
      <c r="O25" s="47"/>
    </row>
    <row r="26" spans="1:15">
      <c r="A26" s="39"/>
      <c r="B26" s="39" t="s">
        <v>356</v>
      </c>
      <c r="C26" s="39" t="s">
        <v>357</v>
      </c>
      <c r="D26" s="39"/>
      <c r="E26" s="39"/>
      <c r="F26" s="45"/>
      <c r="G26" s="45"/>
      <c r="H26" s="45"/>
      <c r="I26" s="45"/>
      <c r="J26" s="45"/>
      <c r="K26" s="45"/>
      <c r="L26" s="45"/>
      <c r="M26" s="45"/>
      <c r="N26" s="47"/>
      <c r="O26" s="47"/>
    </row>
    <row r="27" spans="1:15">
      <c r="A27" s="39"/>
      <c r="B27" s="39" t="s">
        <v>305</v>
      </c>
      <c r="C27" s="39" t="s">
        <v>306</v>
      </c>
      <c r="D27" s="39"/>
      <c r="E27" s="39"/>
      <c r="F27" s="45"/>
      <c r="G27" s="45"/>
      <c r="H27" s="45"/>
      <c r="I27" s="45"/>
      <c r="J27" s="45"/>
      <c r="K27" s="45"/>
      <c r="L27" s="45"/>
      <c r="M27" s="45"/>
      <c r="N27" s="47"/>
      <c r="O27" s="47"/>
    </row>
    <row r="28" spans="1:15">
      <c r="A28" s="39"/>
      <c r="B28" s="39"/>
      <c r="C28" s="39"/>
      <c r="D28" s="39"/>
      <c r="E28" s="39"/>
      <c r="F28" s="45"/>
      <c r="G28" s="45"/>
      <c r="H28" s="45"/>
      <c r="I28" s="45"/>
      <c r="J28" s="45"/>
      <c r="K28" s="45"/>
      <c r="L28" s="45"/>
      <c r="M28" s="45"/>
      <c r="N28" s="47"/>
      <c r="O28" s="47"/>
    </row>
    <row r="29" spans="1:15">
      <c r="A29" s="39"/>
      <c r="B29" s="39"/>
      <c r="C29" s="39"/>
      <c r="D29" s="39"/>
      <c r="E29" s="39"/>
      <c r="F29" s="45"/>
      <c r="G29" s="45"/>
      <c r="H29" s="45"/>
      <c r="I29" s="45"/>
      <c r="J29" s="45"/>
      <c r="K29" s="45"/>
      <c r="L29" s="45"/>
      <c r="M29" s="45"/>
      <c r="N29" s="47"/>
      <c r="O29" s="47"/>
    </row>
    <row r="30" spans="1:15">
      <c r="A30" s="39"/>
      <c r="B30" s="39"/>
      <c r="C30" s="39"/>
      <c r="D30" s="39"/>
      <c r="E30" s="39"/>
      <c r="F30" s="45"/>
      <c r="G30" s="45"/>
      <c r="H30" s="45"/>
      <c r="I30" s="45"/>
      <c r="J30" s="45"/>
      <c r="K30" s="45"/>
      <c r="L30" s="45"/>
      <c r="M30" s="45"/>
      <c r="N30" s="47"/>
      <c r="O30" s="47"/>
    </row>
    <row r="31" spans="1:15">
      <c r="A31" s="39"/>
      <c r="B31" s="39"/>
      <c r="C31" s="39"/>
      <c r="D31" s="39"/>
      <c r="E31" s="39"/>
      <c r="F31" s="45"/>
      <c r="G31" s="45"/>
      <c r="H31" s="45"/>
      <c r="I31" s="45"/>
      <c r="J31" s="45"/>
      <c r="K31" s="45"/>
      <c r="L31" s="45"/>
      <c r="M31" s="45"/>
      <c r="N31" s="47"/>
      <c r="O31" s="47"/>
    </row>
    <row r="32" spans="1:15">
      <c r="A32" s="39"/>
      <c r="B32" s="39"/>
      <c r="C32" s="39"/>
      <c r="D32" s="39"/>
      <c r="E32" s="39"/>
      <c r="F32" s="45"/>
      <c r="G32" s="45"/>
      <c r="H32" s="45"/>
      <c r="I32" s="45"/>
      <c r="J32" s="45"/>
      <c r="K32" s="45"/>
      <c r="L32" s="45"/>
      <c r="M32" s="45"/>
      <c r="N32" s="47"/>
      <c r="O32" s="47"/>
    </row>
    <row r="33" spans="1:15">
      <c r="A33" s="39"/>
      <c r="B33" s="39"/>
      <c r="C33" s="39"/>
      <c r="D33" s="39"/>
      <c r="E33" s="39"/>
      <c r="F33" s="45"/>
      <c r="G33" s="45"/>
      <c r="H33" s="45"/>
      <c r="I33" s="45"/>
      <c r="J33" s="45"/>
      <c r="K33" s="45"/>
      <c r="L33" s="45"/>
      <c r="M33" s="45"/>
      <c r="N33" s="47"/>
      <c r="O33" s="47"/>
    </row>
    <row r="34" spans="1:15">
      <c r="A34" s="39"/>
      <c r="B34" s="39"/>
      <c r="C34" s="39"/>
      <c r="D34" s="39"/>
      <c r="E34" s="39"/>
      <c r="F34" s="45"/>
      <c r="G34" s="45"/>
      <c r="H34" s="45"/>
      <c r="I34" s="45"/>
      <c r="J34" s="45"/>
      <c r="K34" s="45"/>
      <c r="L34" s="45"/>
      <c r="M34" s="45"/>
      <c r="N34" s="47"/>
      <c r="O34" s="47"/>
    </row>
    <row r="35" spans="1:15">
      <c r="A35" s="39"/>
      <c r="B35" s="39"/>
      <c r="C35" s="39"/>
      <c r="D35" s="39"/>
      <c r="E35" s="39"/>
      <c r="F35" s="45"/>
      <c r="G35" s="45"/>
      <c r="H35" s="45"/>
      <c r="I35" s="45"/>
      <c r="J35" s="45"/>
      <c r="K35" s="45"/>
      <c r="L35" s="45"/>
      <c r="M35" s="45"/>
      <c r="N35" s="47"/>
      <c r="O35" s="47"/>
    </row>
    <row r="36" spans="1:15">
      <c r="A36" s="39"/>
      <c r="B36" s="39"/>
      <c r="C36" s="39"/>
      <c r="D36" s="39"/>
      <c r="E36" s="39"/>
      <c r="F36" s="45"/>
      <c r="G36" s="45"/>
      <c r="H36" s="45"/>
      <c r="I36" s="45"/>
      <c r="J36" s="45"/>
      <c r="K36" s="45"/>
      <c r="L36" s="45"/>
      <c r="M36" s="45"/>
      <c r="N36" s="47"/>
      <c r="O36" s="47"/>
    </row>
    <row r="37" spans="1:15">
      <c r="A37" s="39"/>
      <c r="B37" s="39"/>
      <c r="C37" s="39"/>
      <c r="D37" s="39"/>
      <c r="E37" s="39"/>
      <c r="F37" s="45"/>
      <c r="G37" s="45"/>
      <c r="H37" s="45"/>
      <c r="I37" s="45"/>
      <c r="J37" s="45"/>
      <c r="K37" s="45"/>
      <c r="L37" s="45"/>
      <c r="M37" s="45"/>
      <c r="N37" s="47"/>
      <c r="O37" s="47"/>
    </row>
    <row r="38" spans="1:15">
      <c r="A38" s="39"/>
      <c r="B38" s="39"/>
      <c r="C38" s="39"/>
      <c r="D38" s="39"/>
      <c r="E38" s="39"/>
      <c r="F38" s="45"/>
      <c r="G38" s="45"/>
      <c r="H38" s="45"/>
      <c r="I38" s="45"/>
      <c r="J38" s="45"/>
      <c r="K38" s="45"/>
      <c r="L38" s="45"/>
      <c r="M38" s="45"/>
      <c r="N38" s="47"/>
      <c r="O38" s="47"/>
    </row>
    <row r="39" spans="1:15">
      <c r="A39" s="39"/>
      <c r="B39" s="39"/>
      <c r="C39" s="39"/>
      <c r="D39" s="39"/>
      <c r="E39" s="39"/>
      <c r="F39" s="45"/>
      <c r="G39" s="45"/>
      <c r="H39" s="45"/>
      <c r="I39" s="45"/>
      <c r="J39" s="45"/>
      <c r="K39" s="45"/>
      <c r="L39" s="45"/>
      <c r="M39" s="45"/>
      <c r="N39" s="47"/>
      <c r="O39" s="47"/>
    </row>
    <row r="40" spans="1:15">
      <c r="A40" s="39"/>
      <c r="B40" s="39"/>
      <c r="C40" s="39"/>
      <c r="D40" s="39"/>
      <c r="E40" s="39"/>
      <c r="F40" s="45"/>
      <c r="G40" s="45"/>
      <c r="H40" s="45"/>
      <c r="I40" s="45"/>
      <c r="J40" s="45"/>
      <c r="K40" s="45"/>
      <c r="L40" s="45"/>
      <c r="M40" s="45"/>
      <c r="N40" s="47"/>
      <c r="O40" s="47"/>
    </row>
    <row r="41" spans="1:15">
      <c r="A41" s="39"/>
      <c r="B41" s="39"/>
      <c r="C41" s="39"/>
      <c r="D41" s="39"/>
      <c r="E41" s="39"/>
      <c r="F41" s="45"/>
      <c r="G41" s="45"/>
      <c r="H41" s="45"/>
      <c r="I41" s="45"/>
      <c r="J41" s="45"/>
      <c r="K41" s="45"/>
      <c r="L41" s="45"/>
      <c r="M41" s="45"/>
      <c r="N41" s="47"/>
      <c r="O41" s="47"/>
    </row>
    <row r="42" spans="1:15">
      <c r="A42" s="39"/>
      <c r="B42" s="39"/>
      <c r="C42" s="39"/>
      <c r="D42" s="39"/>
      <c r="E42" s="39"/>
      <c r="F42" s="45"/>
      <c r="G42" s="45"/>
      <c r="H42" s="45"/>
      <c r="I42" s="45"/>
      <c r="J42" s="45"/>
      <c r="K42" s="45"/>
      <c r="L42" s="45"/>
      <c r="M42" s="45"/>
      <c r="N42" s="47"/>
      <c r="O42" s="47"/>
    </row>
    <row r="43" spans="1:15">
      <c r="A43" s="39"/>
      <c r="B43" s="39"/>
      <c r="C43" s="39"/>
      <c r="D43" s="39"/>
      <c r="E43" s="39"/>
      <c r="F43" s="45"/>
      <c r="G43" s="45"/>
      <c r="H43" s="45"/>
      <c r="I43" s="45"/>
      <c r="J43" s="45"/>
      <c r="K43" s="45"/>
      <c r="L43" s="45"/>
      <c r="M43" s="45"/>
      <c r="N43" s="47"/>
      <c r="O43" s="47"/>
    </row>
    <row r="44" spans="1:15">
      <c r="A44" s="39"/>
      <c r="B44" s="39"/>
      <c r="C44" s="39"/>
      <c r="D44" s="39"/>
      <c r="E44" s="39"/>
      <c r="F44" s="45"/>
      <c r="G44" s="45"/>
      <c r="H44" s="45"/>
      <c r="I44" s="45"/>
      <c r="J44" s="45"/>
      <c r="K44" s="45"/>
      <c r="L44" s="45"/>
      <c r="M44" s="45"/>
      <c r="N44" s="47"/>
      <c r="O44" s="47"/>
    </row>
    <row r="45" spans="1:15">
      <c r="A45" s="39"/>
      <c r="B45" s="39"/>
      <c r="C45" s="39"/>
      <c r="D45" s="39"/>
      <c r="E45" s="39"/>
      <c r="F45" s="45"/>
      <c r="G45" s="45"/>
      <c r="H45" s="45"/>
      <c r="I45" s="45"/>
      <c r="J45" s="45"/>
      <c r="K45" s="45"/>
      <c r="L45" s="45"/>
      <c r="M45" s="45"/>
      <c r="N45" s="47"/>
      <c r="O45" s="47"/>
    </row>
    <row r="46" spans="1:15">
      <c r="A46" s="39"/>
      <c r="B46" s="39"/>
      <c r="C46" s="39"/>
      <c r="D46" s="39"/>
      <c r="E46" s="39"/>
      <c r="F46" s="45"/>
      <c r="G46" s="45"/>
      <c r="H46" s="45"/>
      <c r="I46" s="45"/>
      <c r="J46" s="45"/>
      <c r="K46" s="45"/>
      <c r="L46" s="45"/>
      <c r="M46" s="45"/>
      <c r="N46" s="47"/>
      <c r="O46" s="47"/>
    </row>
    <row r="47" spans="1:15">
      <c r="A47" s="39"/>
      <c r="B47" s="39"/>
      <c r="C47" s="39"/>
      <c r="D47" s="39"/>
      <c r="E47" s="39"/>
      <c r="F47" s="45"/>
      <c r="G47" s="45"/>
      <c r="H47" s="45"/>
      <c r="I47" s="45"/>
      <c r="J47" s="45"/>
      <c r="K47" s="45"/>
      <c r="L47" s="45"/>
      <c r="M47" s="45"/>
      <c r="N47" s="47"/>
      <c r="O47" s="47"/>
    </row>
    <row r="48" spans="1:15">
      <c r="A48" s="39"/>
      <c r="B48" s="39"/>
      <c r="C48" s="39"/>
      <c r="D48" s="39"/>
      <c r="E48" s="39"/>
      <c r="F48" s="45"/>
      <c r="G48" s="45"/>
      <c r="H48" s="45"/>
      <c r="I48" s="45"/>
      <c r="J48" s="45"/>
      <c r="K48" s="45"/>
      <c r="L48" s="45"/>
      <c r="M48" s="45"/>
      <c r="N48" s="47"/>
      <c r="O48" s="47"/>
    </row>
    <row r="49" spans="1:15">
      <c r="A49" s="39"/>
      <c r="B49" s="39"/>
      <c r="C49" s="39"/>
      <c r="D49" s="39"/>
      <c r="E49" s="39"/>
      <c r="F49" s="45"/>
      <c r="G49" s="45"/>
      <c r="H49" s="45"/>
      <c r="I49" s="45"/>
      <c r="J49" s="45"/>
      <c r="K49" s="45"/>
      <c r="L49" s="45"/>
      <c r="M49" s="45"/>
      <c r="N49" s="47"/>
      <c r="O49" s="47"/>
    </row>
    <row r="50" spans="1:15">
      <c r="A50" s="39"/>
      <c r="B50" s="39"/>
      <c r="C50" s="39"/>
      <c r="D50" s="39"/>
      <c r="E50" s="39"/>
      <c r="F50" s="45"/>
      <c r="G50" s="45"/>
      <c r="H50" s="45"/>
      <c r="I50" s="45"/>
      <c r="J50" s="45"/>
      <c r="K50" s="45"/>
      <c r="L50" s="45"/>
      <c r="M50" s="45"/>
      <c r="N50" s="47"/>
      <c r="O50" s="47"/>
    </row>
    <row r="51" spans="1:15">
      <c r="A51" s="39"/>
      <c r="B51" s="39"/>
      <c r="C51" s="39"/>
      <c r="D51" s="39"/>
      <c r="E51" s="39"/>
      <c r="F51" s="45"/>
      <c r="G51" s="45"/>
      <c r="H51" s="45"/>
      <c r="I51" s="45"/>
      <c r="J51" s="45"/>
      <c r="K51" s="45"/>
      <c r="L51" s="45"/>
      <c r="M51" s="45"/>
      <c r="N51" s="47"/>
      <c r="O51" s="47"/>
    </row>
    <row r="52" spans="1:15">
      <c r="A52" s="39"/>
      <c r="B52" s="39"/>
      <c r="C52" s="39"/>
      <c r="D52" s="39"/>
      <c r="E52" s="39"/>
      <c r="F52" s="45"/>
      <c r="G52" s="45"/>
      <c r="H52" s="45"/>
      <c r="I52" s="45"/>
      <c r="J52" s="45"/>
      <c r="K52" s="45"/>
      <c r="L52" s="45"/>
      <c r="M52" s="45"/>
      <c r="N52" s="47"/>
      <c r="O52" s="47"/>
    </row>
    <row r="53" spans="1:15">
      <c r="A53" s="39"/>
      <c r="B53" s="39"/>
      <c r="C53" s="39"/>
      <c r="D53" s="39"/>
      <c r="E53" s="39"/>
      <c r="F53" s="45"/>
      <c r="G53" s="45"/>
      <c r="H53" s="45"/>
      <c r="I53" s="45"/>
      <c r="J53" s="45"/>
      <c r="K53" s="45"/>
      <c r="L53" s="45"/>
      <c r="M53" s="45"/>
      <c r="N53" s="47"/>
      <c r="O53" s="47"/>
    </row>
    <row r="54" spans="1:15">
      <c r="A54" s="39"/>
      <c r="B54" s="39"/>
      <c r="C54" s="39"/>
      <c r="D54" s="39"/>
      <c r="E54" s="39"/>
      <c r="F54" s="45"/>
      <c r="G54" s="45"/>
      <c r="H54" s="45"/>
      <c r="I54" s="45"/>
      <c r="J54" s="45"/>
      <c r="K54" s="45"/>
      <c r="L54" s="45"/>
      <c r="M54" s="45"/>
      <c r="N54" s="47"/>
      <c r="O54" s="47"/>
    </row>
    <row r="55" spans="1:15">
      <c r="A55" s="39"/>
      <c r="B55" s="39"/>
      <c r="C55" s="39"/>
      <c r="D55" s="39"/>
      <c r="E55" s="39"/>
      <c r="F55" s="45"/>
      <c r="G55" s="45"/>
      <c r="H55" s="45"/>
      <c r="I55" s="45"/>
      <c r="J55" s="45"/>
      <c r="K55" s="45"/>
      <c r="L55" s="45"/>
      <c r="M55" s="45"/>
      <c r="N55" s="47"/>
      <c r="O55" s="47"/>
    </row>
    <row r="56" spans="1:15">
      <c r="A56" s="39"/>
      <c r="B56" s="39"/>
      <c r="C56" s="39"/>
      <c r="D56" s="39"/>
      <c r="E56" s="39"/>
      <c r="F56" s="45"/>
      <c r="G56" s="45"/>
      <c r="H56" s="45"/>
      <c r="I56" s="45"/>
      <c r="J56" s="45"/>
      <c r="K56" s="45"/>
      <c r="L56" s="45"/>
      <c r="M56" s="45"/>
      <c r="N56" s="47"/>
      <c r="O56" s="47"/>
    </row>
    <row r="57" spans="1:15">
      <c r="A57" s="39"/>
      <c r="B57" s="39"/>
      <c r="C57" s="39"/>
      <c r="D57" s="39"/>
      <c r="E57" s="39"/>
      <c r="F57" s="45"/>
      <c r="G57" s="45"/>
      <c r="H57" s="45"/>
      <c r="I57" s="45"/>
      <c r="J57" s="45"/>
      <c r="K57" s="45"/>
      <c r="L57" s="45"/>
      <c r="M57" s="45"/>
      <c r="N57" s="47"/>
      <c r="O57" s="47"/>
    </row>
    <row r="58" spans="1:15">
      <c r="A58" s="39"/>
      <c r="B58" s="39"/>
      <c r="C58" s="39"/>
      <c r="D58" s="39"/>
      <c r="E58" s="39"/>
      <c r="F58" s="45"/>
      <c r="G58" s="45"/>
      <c r="H58" s="45"/>
      <c r="I58" s="45"/>
      <c r="J58" s="45"/>
      <c r="K58" s="45"/>
      <c r="L58" s="45"/>
      <c r="M58" s="45"/>
      <c r="N58" s="47"/>
      <c r="O58" s="47"/>
    </row>
    <row r="59" spans="1:15">
      <c r="A59" s="39"/>
      <c r="B59" s="39"/>
      <c r="C59" s="39"/>
      <c r="D59" s="39"/>
      <c r="E59" s="39"/>
      <c r="F59" s="45"/>
      <c r="G59" s="45"/>
      <c r="H59" s="45"/>
      <c r="I59" s="45"/>
      <c r="J59" s="45"/>
      <c r="K59" s="45"/>
      <c r="L59" s="45"/>
      <c r="M59" s="45"/>
      <c r="N59" s="47"/>
      <c r="O59" s="47"/>
    </row>
    <row r="60" spans="1:15">
      <c r="A60" s="39"/>
      <c r="B60" s="39"/>
      <c r="C60" s="39"/>
      <c r="D60" s="39"/>
      <c r="E60" s="39"/>
      <c r="F60" s="45"/>
      <c r="G60" s="45"/>
      <c r="H60" s="45"/>
      <c r="I60" s="45"/>
      <c r="J60" s="45"/>
      <c r="K60" s="45"/>
      <c r="L60" s="45"/>
      <c r="M60" s="45"/>
      <c r="N60" s="47"/>
      <c r="O60" s="47"/>
    </row>
    <row r="61" spans="1:15">
      <c r="A61" s="39"/>
      <c r="B61" s="39"/>
      <c r="C61" s="39"/>
      <c r="D61" s="39"/>
      <c r="E61" s="39"/>
      <c r="F61" s="45"/>
      <c r="G61" s="45"/>
      <c r="H61" s="45"/>
      <c r="I61" s="45"/>
      <c r="J61" s="45"/>
      <c r="K61" s="45"/>
      <c r="L61" s="45"/>
      <c r="M61" s="45"/>
      <c r="N61" s="47"/>
      <c r="O61" s="47"/>
    </row>
    <row r="62" spans="1:15">
      <c r="A62" s="39"/>
      <c r="B62" s="39"/>
      <c r="C62" s="39"/>
      <c r="D62" s="39"/>
      <c r="E62" s="39"/>
      <c r="F62" s="45"/>
      <c r="G62" s="45"/>
      <c r="H62" s="45"/>
      <c r="I62" s="45"/>
      <c r="J62" s="45"/>
      <c r="K62" s="45"/>
      <c r="L62" s="45"/>
      <c r="M62" s="45"/>
      <c r="N62" s="47"/>
      <c r="O62" s="47"/>
    </row>
    <row r="63" spans="1:15">
      <c r="A63" s="39"/>
      <c r="B63" s="39"/>
      <c r="C63" s="39"/>
      <c r="D63" s="39"/>
      <c r="E63" s="39"/>
      <c r="F63" s="45"/>
      <c r="G63" s="45"/>
      <c r="H63" s="45"/>
      <c r="I63" s="45"/>
      <c r="J63" s="45"/>
      <c r="K63" s="45"/>
      <c r="L63" s="45"/>
      <c r="M63" s="45"/>
      <c r="N63" s="47"/>
      <c r="O63" s="47"/>
    </row>
    <row r="64" spans="1:15">
      <c r="A64" s="39"/>
      <c r="B64" s="39"/>
      <c r="C64" s="39"/>
      <c r="D64" s="39"/>
      <c r="E64" s="39"/>
      <c r="F64" s="45"/>
      <c r="G64" s="45"/>
      <c r="H64" s="45"/>
      <c r="I64" s="45"/>
      <c r="J64" s="45"/>
      <c r="K64" s="45"/>
      <c r="L64" s="45"/>
      <c r="M64" s="45"/>
      <c r="N64" s="47"/>
      <c r="O64" s="47"/>
    </row>
    <row r="65" spans="1:15">
      <c r="A65" s="39"/>
      <c r="B65" s="39"/>
      <c r="C65" s="39"/>
      <c r="D65" s="39"/>
      <c r="E65" s="39"/>
      <c r="F65" s="45"/>
      <c r="G65" s="45"/>
      <c r="H65" s="45"/>
      <c r="I65" s="45"/>
      <c r="J65" s="45"/>
      <c r="K65" s="45"/>
      <c r="L65" s="45"/>
      <c r="M65" s="45"/>
      <c r="N65" s="47"/>
      <c r="O65" s="47"/>
    </row>
    <row r="66" spans="1:15">
      <c r="A66" s="39"/>
      <c r="B66" s="39"/>
      <c r="C66" s="39"/>
      <c r="D66" s="39"/>
      <c r="E66" s="39"/>
      <c r="F66" s="45"/>
      <c r="G66" s="45"/>
      <c r="H66" s="45"/>
      <c r="I66" s="45"/>
      <c r="J66" s="45"/>
      <c r="K66" s="45"/>
      <c r="L66" s="45"/>
      <c r="M66" s="45"/>
      <c r="N66" s="47"/>
      <c r="O66" s="47"/>
    </row>
    <row r="67" spans="1:15">
      <c r="A67" s="39"/>
      <c r="B67" s="39"/>
      <c r="C67" s="39"/>
      <c r="D67" s="39"/>
      <c r="E67" s="39"/>
      <c r="F67" s="45"/>
      <c r="G67" s="45"/>
      <c r="H67" s="45"/>
      <c r="I67" s="45"/>
      <c r="J67" s="45"/>
      <c r="K67" s="45"/>
      <c r="L67" s="45"/>
      <c r="M67" s="45"/>
      <c r="N67" s="47"/>
      <c r="O67" s="47"/>
    </row>
    <row r="68" spans="1:15">
      <c r="A68" s="39"/>
      <c r="B68" s="39"/>
      <c r="C68" s="39"/>
      <c r="D68" s="39"/>
      <c r="E68" s="39"/>
      <c r="F68" s="45"/>
      <c r="G68" s="45"/>
      <c r="H68" s="45"/>
      <c r="I68" s="45"/>
      <c r="J68" s="45"/>
      <c r="K68" s="45"/>
      <c r="L68" s="45"/>
      <c r="M68" s="45"/>
      <c r="N68" s="47"/>
      <c r="O68" s="47"/>
    </row>
    <row r="69" spans="1:15">
      <c r="A69" s="39"/>
      <c r="B69" s="39"/>
      <c r="C69" s="39"/>
      <c r="D69" s="39"/>
      <c r="E69" s="39"/>
      <c r="F69" s="45"/>
      <c r="G69" s="45"/>
      <c r="H69" s="45"/>
      <c r="I69" s="45"/>
      <c r="J69" s="45"/>
      <c r="K69" s="45"/>
      <c r="L69" s="45"/>
      <c r="M69" s="45"/>
      <c r="N69" s="47"/>
      <c r="O69" s="47"/>
    </row>
    <row r="70" spans="1:15">
      <c r="A70" s="39"/>
      <c r="B70" s="39"/>
      <c r="C70" s="39"/>
      <c r="D70" s="39"/>
      <c r="E70" s="39"/>
      <c r="F70" s="45"/>
      <c r="G70" s="45"/>
      <c r="H70" s="45"/>
      <c r="I70" s="45"/>
      <c r="J70" s="45"/>
      <c r="K70" s="45"/>
      <c r="L70" s="45"/>
      <c r="M70" s="45"/>
      <c r="N70" s="47"/>
      <c r="O70" s="47"/>
    </row>
    <row r="71" spans="1:15">
      <c r="A71" s="39"/>
      <c r="B71" s="39"/>
      <c r="C71" s="39"/>
      <c r="D71" s="39"/>
      <c r="E71" s="39"/>
      <c r="F71" s="45"/>
      <c r="G71" s="45"/>
      <c r="H71" s="45"/>
      <c r="I71" s="45"/>
      <c r="J71" s="45"/>
      <c r="K71" s="45"/>
      <c r="L71" s="45"/>
      <c r="M71" s="45"/>
      <c r="N71" s="47"/>
      <c r="O71" s="47"/>
    </row>
    <row r="72" spans="1:15">
      <c r="A72" s="39"/>
      <c r="B72" s="39"/>
      <c r="C72" s="39"/>
      <c r="D72" s="39"/>
      <c r="E72" s="39"/>
      <c r="F72" s="45"/>
      <c r="G72" s="45"/>
      <c r="H72" s="45"/>
      <c r="I72" s="45"/>
      <c r="J72" s="45"/>
      <c r="K72" s="45"/>
      <c r="L72" s="45"/>
      <c r="M72" s="45"/>
      <c r="N72" s="47"/>
      <c r="O72" s="47"/>
    </row>
    <row r="73" spans="1:15">
      <c r="A73" s="39"/>
      <c r="B73" s="39"/>
      <c r="C73" s="39"/>
      <c r="D73" s="39"/>
      <c r="E73" s="39"/>
      <c r="F73" s="45"/>
      <c r="G73" s="45"/>
      <c r="H73" s="45"/>
      <c r="I73" s="45"/>
      <c r="J73" s="45"/>
      <c r="K73" s="45"/>
      <c r="L73" s="45"/>
      <c r="M73" s="45"/>
      <c r="N73" s="47"/>
      <c r="O73" s="47"/>
    </row>
    <row r="74" spans="1:15">
      <c r="A74" s="39"/>
      <c r="B74" s="39"/>
      <c r="C74" s="39"/>
      <c r="D74" s="39"/>
      <c r="E74" s="39"/>
      <c r="F74" s="45"/>
      <c r="G74" s="45"/>
      <c r="H74" s="45"/>
      <c r="I74" s="45"/>
      <c r="J74" s="45"/>
      <c r="K74" s="45"/>
      <c r="L74" s="45"/>
      <c r="M74" s="45"/>
      <c r="N74" s="47"/>
      <c r="O74" s="47"/>
    </row>
    <row r="75" spans="1:15">
      <c r="A75" s="39"/>
      <c r="B75" s="39"/>
      <c r="C75" s="39"/>
      <c r="D75" s="39"/>
      <c r="E75" s="39"/>
      <c r="F75" s="45"/>
      <c r="G75" s="45"/>
      <c r="H75" s="45"/>
      <c r="I75" s="45"/>
      <c r="J75" s="45"/>
      <c r="K75" s="45"/>
      <c r="L75" s="45"/>
      <c r="M75" s="45"/>
      <c r="N75" s="47"/>
      <c r="O75" s="47"/>
    </row>
    <row r="76" spans="1:15">
      <c r="A76" s="39"/>
      <c r="B76" s="39"/>
      <c r="C76" s="39"/>
      <c r="D76" s="39"/>
      <c r="E76" s="39"/>
      <c r="F76" s="45"/>
      <c r="G76" s="45"/>
      <c r="H76" s="45"/>
      <c r="I76" s="45"/>
      <c r="J76" s="45"/>
      <c r="K76" s="45"/>
      <c r="L76" s="45"/>
      <c r="M76" s="45"/>
      <c r="N76" s="47"/>
      <c r="O76" s="47"/>
    </row>
    <row r="77" spans="1:15">
      <c r="A77" s="39"/>
      <c r="B77" s="39"/>
      <c r="C77" s="39"/>
      <c r="D77" s="39"/>
      <c r="E77" s="39"/>
      <c r="F77" s="45"/>
      <c r="G77" s="45"/>
      <c r="H77" s="45"/>
      <c r="I77" s="45"/>
      <c r="J77" s="45"/>
      <c r="K77" s="45"/>
      <c r="L77" s="45"/>
      <c r="M77" s="45"/>
      <c r="N77" s="47"/>
      <c r="O77" s="47"/>
    </row>
    <row r="78" spans="1:15">
      <c r="A78" s="39"/>
      <c r="B78" s="39"/>
      <c r="C78" s="39"/>
      <c r="D78" s="39"/>
      <c r="E78" s="39"/>
      <c r="F78" s="45"/>
      <c r="G78" s="45"/>
      <c r="H78" s="45"/>
      <c r="I78" s="45"/>
      <c r="J78" s="45"/>
      <c r="K78" s="45"/>
      <c r="L78" s="45"/>
      <c r="M78" s="45"/>
      <c r="N78" s="47"/>
      <c r="O78" s="47"/>
    </row>
    <row r="79" spans="1:15">
      <c r="A79" s="39"/>
      <c r="B79" s="39"/>
      <c r="C79" s="39"/>
      <c r="D79" s="39"/>
      <c r="E79" s="39"/>
      <c r="F79" s="45"/>
      <c r="G79" s="45"/>
      <c r="H79" s="45"/>
      <c r="I79" s="45"/>
      <c r="J79" s="45"/>
      <c r="K79" s="45"/>
      <c r="L79" s="45"/>
      <c r="M79" s="45"/>
      <c r="N79" s="47"/>
      <c r="O79" s="47"/>
    </row>
    <row r="80" spans="1:15">
      <c r="A80" s="39"/>
      <c r="B80" s="39"/>
      <c r="C80" s="39"/>
      <c r="D80" s="39"/>
      <c r="E80" s="39"/>
      <c r="F80" s="45"/>
      <c r="G80" s="45"/>
      <c r="H80" s="45"/>
      <c r="I80" s="45"/>
      <c r="J80" s="45"/>
      <c r="K80" s="45"/>
      <c r="L80" s="45"/>
      <c r="M80" s="45"/>
      <c r="N80" s="47"/>
      <c r="O80" s="47"/>
    </row>
    <row r="81" spans="1:15">
      <c r="A81" s="39"/>
      <c r="B81" s="39"/>
      <c r="C81" s="39"/>
      <c r="D81" s="39"/>
      <c r="E81" s="39"/>
      <c r="F81" s="45"/>
      <c r="G81" s="45"/>
      <c r="H81" s="45"/>
      <c r="I81" s="45"/>
      <c r="J81" s="45"/>
      <c r="K81" s="45"/>
      <c r="L81" s="45"/>
      <c r="M81" s="45"/>
      <c r="N81" s="47"/>
      <c r="O81" s="47"/>
    </row>
    <row r="82" spans="1:15">
      <c r="A82" s="39"/>
      <c r="B82" s="39"/>
      <c r="C82" s="39"/>
      <c r="D82" s="39"/>
      <c r="E82" s="39"/>
      <c r="F82" s="45"/>
      <c r="G82" s="45"/>
      <c r="H82" s="45"/>
      <c r="I82" s="45"/>
      <c r="J82" s="45"/>
      <c r="K82" s="45"/>
      <c r="L82" s="45"/>
      <c r="M82" s="45"/>
      <c r="N82" s="47"/>
      <c r="O82" s="47"/>
    </row>
    <row r="83" spans="1:15">
      <c r="A83" s="39"/>
      <c r="B83" s="39"/>
      <c r="C83" s="39"/>
      <c r="D83" s="39"/>
      <c r="E83" s="39"/>
      <c r="F83" s="45"/>
      <c r="G83" s="45"/>
      <c r="H83" s="45"/>
      <c r="I83" s="45"/>
      <c r="J83" s="45"/>
      <c r="K83" s="45"/>
      <c r="L83" s="45"/>
      <c r="M83" s="45"/>
      <c r="N83" s="47"/>
      <c r="O83" s="47"/>
    </row>
    <row r="84" spans="1:15">
      <c r="A84" s="39"/>
      <c r="B84" s="39"/>
      <c r="C84" s="39"/>
      <c r="D84" s="39"/>
      <c r="E84" s="39"/>
      <c r="F84" s="45"/>
      <c r="G84" s="45"/>
      <c r="H84" s="45"/>
      <c r="I84" s="45"/>
      <c r="J84" s="45"/>
      <c r="K84" s="45"/>
      <c r="L84" s="45"/>
      <c r="M84" s="45"/>
      <c r="N84" s="47"/>
      <c r="O84" s="47"/>
    </row>
    <row r="85" spans="1:15">
      <c r="A85" s="39"/>
      <c r="B85" s="39"/>
      <c r="C85" s="39"/>
      <c r="D85" s="39"/>
      <c r="E85" s="39"/>
      <c r="F85" s="45"/>
      <c r="G85" s="45"/>
      <c r="H85" s="45"/>
      <c r="I85" s="45"/>
      <c r="J85" s="45"/>
      <c r="K85" s="45"/>
      <c r="L85" s="45"/>
      <c r="M85" s="45"/>
      <c r="N85" s="47"/>
      <c r="O85" s="47"/>
    </row>
    <row r="86" spans="1:15">
      <c r="A86" s="39"/>
      <c r="B86" s="39"/>
      <c r="C86" s="39"/>
      <c r="D86" s="39"/>
      <c r="E86" s="39"/>
      <c r="F86" s="45"/>
      <c r="G86" s="45"/>
      <c r="H86" s="45"/>
      <c r="I86" s="45"/>
      <c r="J86" s="45"/>
      <c r="K86" s="45"/>
      <c r="L86" s="45"/>
      <c r="M86" s="45"/>
      <c r="N86" s="47"/>
      <c r="O86" s="47"/>
    </row>
    <row r="87" spans="1:15">
      <c r="A87" s="39"/>
      <c r="B87" s="39"/>
      <c r="C87" s="39"/>
      <c r="D87" s="39"/>
      <c r="E87" s="39"/>
      <c r="F87" s="45"/>
      <c r="G87" s="45"/>
      <c r="H87" s="45"/>
      <c r="I87" s="45"/>
      <c r="J87" s="45"/>
      <c r="K87" s="45"/>
      <c r="L87" s="45"/>
      <c r="M87" s="45"/>
      <c r="N87" s="47"/>
      <c r="O87" s="47"/>
    </row>
    <row r="88" spans="1:15">
      <c r="A88" s="39"/>
      <c r="B88" s="39"/>
      <c r="C88" s="39"/>
      <c r="D88" s="39"/>
      <c r="E88" s="39"/>
      <c r="F88" s="45"/>
      <c r="G88" s="45"/>
      <c r="H88" s="45"/>
      <c r="I88" s="45"/>
      <c r="J88" s="45"/>
      <c r="K88" s="45"/>
      <c r="L88" s="45"/>
      <c r="M88" s="45"/>
      <c r="N88" s="47"/>
      <c r="O88" s="47"/>
    </row>
    <row r="89" spans="1:15">
      <c r="A89" s="39"/>
      <c r="B89" s="39"/>
      <c r="C89" s="39"/>
      <c r="D89" s="39"/>
      <c r="E89" s="39"/>
      <c r="F89" s="45"/>
      <c r="G89" s="45"/>
      <c r="H89" s="45"/>
      <c r="I89" s="45"/>
      <c r="J89" s="45"/>
      <c r="K89" s="45"/>
      <c r="L89" s="45"/>
      <c r="M89" s="45"/>
      <c r="N89" s="47"/>
      <c r="O89" s="47"/>
    </row>
    <row r="90" spans="1:15">
      <c r="A90" s="39"/>
      <c r="B90" s="39"/>
      <c r="C90" s="39"/>
      <c r="D90" s="39"/>
      <c r="E90" s="39"/>
      <c r="F90" s="45"/>
      <c r="G90" s="45"/>
      <c r="H90" s="45"/>
      <c r="I90" s="45"/>
      <c r="J90" s="45"/>
      <c r="K90" s="45"/>
      <c r="L90" s="45"/>
      <c r="M90" s="45"/>
      <c r="N90" s="47"/>
      <c r="O90" s="47"/>
    </row>
    <row r="91" spans="1:15">
      <c r="A91" s="39"/>
      <c r="B91" s="39"/>
      <c r="C91" s="39"/>
      <c r="D91" s="39"/>
      <c r="E91" s="39"/>
      <c r="F91" s="45"/>
      <c r="G91" s="45"/>
      <c r="H91" s="45"/>
      <c r="I91" s="45"/>
      <c r="J91" s="45"/>
      <c r="K91" s="45"/>
      <c r="L91" s="45"/>
      <c r="M91" s="45"/>
      <c r="N91" s="47"/>
      <c r="O91" s="47"/>
    </row>
    <row r="92" spans="1:15">
      <c r="A92" s="39"/>
      <c r="B92" s="39"/>
      <c r="C92" s="39"/>
      <c r="D92" s="39"/>
      <c r="E92" s="39"/>
      <c r="F92" s="45"/>
      <c r="G92" s="45"/>
      <c r="H92" s="45"/>
      <c r="I92" s="45"/>
      <c r="J92" s="45"/>
      <c r="K92" s="45"/>
      <c r="L92" s="45"/>
      <c r="M92" s="45"/>
      <c r="N92" s="47"/>
      <c r="O92" s="47"/>
    </row>
    <row r="93" spans="1:15">
      <c r="A93" s="39"/>
      <c r="B93" s="39"/>
      <c r="C93" s="39"/>
      <c r="D93" s="39"/>
      <c r="E93" s="39"/>
      <c r="F93" s="45"/>
      <c r="G93" s="45"/>
      <c r="H93" s="45"/>
      <c r="I93" s="45"/>
      <c r="J93" s="45"/>
      <c r="K93" s="45"/>
      <c r="L93" s="45"/>
      <c r="M93" s="45"/>
      <c r="N93" s="47"/>
      <c r="O93" s="47"/>
    </row>
    <row r="94" spans="1:15">
      <c r="A94" s="39"/>
      <c r="B94" s="39"/>
      <c r="C94" s="39"/>
      <c r="D94" s="39"/>
      <c r="E94" s="39"/>
      <c r="F94" s="45"/>
      <c r="G94" s="45"/>
      <c r="H94" s="45"/>
      <c r="I94" s="45"/>
      <c r="J94" s="45"/>
      <c r="K94" s="45"/>
      <c r="L94" s="45"/>
      <c r="M94" s="45"/>
      <c r="N94" s="47"/>
      <c r="O94" s="47"/>
    </row>
    <row r="95" spans="1:15">
      <c r="A95" s="39"/>
      <c r="B95" s="39"/>
      <c r="C95" s="39"/>
      <c r="D95" s="39"/>
      <c r="E95" s="39"/>
      <c r="F95" s="45"/>
      <c r="G95" s="45"/>
      <c r="H95" s="45"/>
      <c r="I95" s="45"/>
      <c r="J95" s="45"/>
      <c r="K95" s="45"/>
      <c r="L95" s="45"/>
      <c r="M95" s="45"/>
      <c r="N95" s="47"/>
      <c r="O95" s="47"/>
    </row>
    <row r="96" spans="1:15">
      <c r="A96" s="39"/>
      <c r="B96" s="39"/>
      <c r="C96" s="39"/>
      <c r="D96" s="39"/>
      <c r="E96" s="39"/>
      <c r="F96" s="45"/>
      <c r="G96" s="45"/>
      <c r="H96" s="45"/>
      <c r="I96" s="45"/>
      <c r="J96" s="45"/>
      <c r="K96" s="45"/>
      <c r="L96" s="45"/>
      <c r="M96" s="45"/>
      <c r="N96" s="47"/>
      <c r="O96" s="47"/>
    </row>
    <row r="97" spans="1:15">
      <c r="A97" s="39"/>
      <c r="B97" s="39"/>
      <c r="C97" s="39"/>
      <c r="D97" s="39"/>
      <c r="E97" s="39"/>
      <c r="F97" s="45"/>
      <c r="G97" s="45"/>
      <c r="H97" s="45"/>
      <c r="I97" s="45"/>
      <c r="J97" s="45"/>
      <c r="K97" s="45"/>
      <c r="L97" s="45"/>
      <c r="M97" s="45"/>
      <c r="N97" s="47"/>
      <c r="O97" s="47"/>
    </row>
    <row r="98" spans="1:15">
      <c r="A98" s="39"/>
      <c r="B98" s="39"/>
      <c r="C98" s="39"/>
      <c r="D98" s="39"/>
      <c r="E98" s="39"/>
      <c r="F98" s="45"/>
      <c r="G98" s="45"/>
      <c r="H98" s="45"/>
      <c r="I98" s="45"/>
      <c r="J98" s="45"/>
      <c r="K98" s="45"/>
      <c r="L98" s="45"/>
      <c r="M98" s="45"/>
      <c r="N98" s="47"/>
      <c r="O98" s="47"/>
    </row>
    <row r="99" spans="1:15">
      <c r="A99" s="39"/>
      <c r="B99" s="39"/>
      <c r="C99" s="39"/>
      <c r="D99" s="39"/>
      <c r="E99" s="39"/>
      <c r="F99" s="45"/>
      <c r="G99" s="45"/>
      <c r="H99" s="45"/>
      <c r="I99" s="45"/>
      <c r="J99" s="45"/>
      <c r="K99" s="45"/>
      <c r="L99" s="45"/>
      <c r="M99" s="45"/>
      <c r="N99" s="47"/>
      <c r="O99" s="47"/>
    </row>
    <row r="100" spans="1:15">
      <c r="A100" s="39"/>
      <c r="B100" s="39"/>
      <c r="C100" s="39"/>
      <c r="D100" s="39"/>
      <c r="E100" s="39"/>
      <c r="F100" s="45"/>
      <c r="G100" s="45"/>
      <c r="H100" s="45"/>
      <c r="I100" s="45"/>
      <c r="J100" s="45"/>
      <c r="K100" s="45"/>
      <c r="L100" s="45"/>
      <c r="M100" s="45"/>
      <c r="N100" s="47"/>
      <c r="O100" s="47"/>
    </row>
    <row r="101" spans="1:15">
      <c r="A101" s="39"/>
      <c r="B101" s="39"/>
      <c r="C101" s="39"/>
      <c r="D101" s="39"/>
      <c r="E101" s="39"/>
      <c r="F101" s="45"/>
      <c r="G101" s="45"/>
      <c r="H101" s="45"/>
      <c r="I101" s="45"/>
      <c r="J101" s="45"/>
      <c r="K101" s="45"/>
      <c r="L101" s="45"/>
      <c r="M101" s="45"/>
      <c r="N101" s="47"/>
      <c r="O101" s="47"/>
    </row>
    <row r="102" spans="1:15">
      <c r="A102" s="39"/>
      <c r="B102" s="39"/>
      <c r="C102" s="39"/>
      <c r="D102" s="39"/>
      <c r="E102" s="39"/>
      <c r="F102" s="45"/>
      <c r="G102" s="45"/>
      <c r="H102" s="45"/>
      <c r="I102" s="45"/>
      <c r="J102" s="45"/>
      <c r="K102" s="45"/>
      <c r="L102" s="45"/>
      <c r="M102" s="45"/>
      <c r="N102" s="47"/>
      <c r="O102" s="47"/>
    </row>
    <row r="103" spans="1:15">
      <c r="A103" s="39"/>
      <c r="B103" s="39"/>
      <c r="C103" s="39"/>
      <c r="D103" s="39"/>
      <c r="E103" s="39"/>
      <c r="F103" s="45"/>
      <c r="G103" s="45"/>
      <c r="H103" s="45"/>
      <c r="I103" s="45"/>
      <c r="J103" s="45"/>
      <c r="K103" s="45"/>
      <c r="L103" s="45"/>
      <c r="M103" s="45"/>
      <c r="N103" s="47"/>
      <c r="O103" s="47"/>
    </row>
    <row r="104" spans="1:15">
      <c r="A104" s="39"/>
      <c r="B104" s="39"/>
      <c r="C104" s="39"/>
      <c r="D104" s="39"/>
      <c r="E104" s="39"/>
      <c r="F104" s="45"/>
      <c r="G104" s="45"/>
      <c r="H104" s="45"/>
      <c r="I104" s="45"/>
      <c r="J104" s="45"/>
      <c r="K104" s="45"/>
      <c r="L104" s="45"/>
      <c r="M104" s="45"/>
      <c r="N104" s="47"/>
      <c r="O104" s="47"/>
    </row>
    <row r="105" spans="1:15">
      <c r="A105" s="39"/>
      <c r="B105" s="39"/>
      <c r="C105" s="39"/>
      <c r="D105" s="39"/>
      <c r="E105" s="39"/>
      <c r="F105" s="45"/>
      <c r="G105" s="45"/>
      <c r="H105" s="45"/>
      <c r="I105" s="45"/>
      <c r="J105" s="45"/>
      <c r="K105" s="45"/>
      <c r="L105" s="45"/>
      <c r="M105" s="45"/>
      <c r="N105" s="47"/>
      <c r="O105" s="47"/>
    </row>
    <row r="106" spans="1:15">
      <c r="A106" s="39"/>
      <c r="B106" s="39"/>
      <c r="C106" s="39"/>
      <c r="D106" s="39"/>
      <c r="E106" s="39"/>
      <c r="F106" s="45"/>
      <c r="G106" s="45"/>
      <c r="H106" s="45"/>
      <c r="I106" s="45"/>
      <c r="J106" s="45"/>
      <c r="K106" s="45"/>
      <c r="L106" s="45"/>
      <c r="M106" s="45"/>
      <c r="N106" s="47"/>
      <c r="O106" s="47"/>
    </row>
    <row r="107" spans="1:15">
      <c r="A107" s="39"/>
      <c r="B107" s="39"/>
      <c r="C107" s="39"/>
      <c r="D107" s="39"/>
      <c r="E107" s="39"/>
      <c r="F107" s="45"/>
      <c r="G107" s="45"/>
      <c r="H107" s="45"/>
      <c r="I107" s="45"/>
      <c r="J107" s="45"/>
      <c r="K107" s="45"/>
      <c r="L107" s="45"/>
      <c r="M107" s="45"/>
      <c r="N107" s="47"/>
      <c r="O107" s="47"/>
    </row>
    <row r="108" spans="1:15">
      <c r="A108" s="39"/>
      <c r="B108" s="39"/>
      <c r="C108" s="39"/>
      <c r="D108" s="39"/>
      <c r="E108" s="39"/>
      <c r="F108" s="45"/>
      <c r="G108" s="45"/>
      <c r="H108" s="45"/>
      <c r="I108" s="45"/>
      <c r="J108" s="45"/>
      <c r="K108" s="45"/>
      <c r="L108" s="45"/>
      <c r="M108" s="45"/>
      <c r="N108" s="47"/>
      <c r="O108" s="47"/>
    </row>
    <row r="109" spans="1:15">
      <c r="A109" s="39"/>
      <c r="B109" s="39"/>
      <c r="C109" s="39"/>
      <c r="D109" s="39"/>
      <c r="E109" s="39"/>
      <c r="F109" s="45"/>
      <c r="G109" s="45"/>
      <c r="H109" s="45"/>
      <c r="I109" s="45"/>
      <c r="J109" s="45"/>
      <c r="K109" s="45"/>
      <c r="L109" s="45"/>
      <c r="M109" s="45"/>
      <c r="N109" s="47"/>
      <c r="O109" s="47"/>
    </row>
    <row r="110" spans="1:15">
      <c r="A110" s="39"/>
      <c r="B110" s="39"/>
      <c r="C110" s="39"/>
      <c r="D110" s="39"/>
      <c r="E110" s="39"/>
      <c r="F110" s="45"/>
      <c r="G110" s="45"/>
      <c r="H110" s="45"/>
      <c r="I110" s="45"/>
      <c r="J110" s="45"/>
      <c r="K110" s="45"/>
      <c r="L110" s="45"/>
      <c r="M110" s="45"/>
      <c r="N110" s="47"/>
      <c r="O110" s="47"/>
    </row>
    <row r="111" spans="1:15">
      <c r="A111" s="39"/>
      <c r="B111" s="39"/>
      <c r="C111" s="39"/>
      <c r="D111" s="39"/>
      <c r="E111" s="39"/>
      <c r="F111" s="45"/>
      <c r="G111" s="45"/>
      <c r="H111" s="45"/>
      <c r="I111" s="45"/>
      <c r="J111" s="45"/>
      <c r="K111" s="45"/>
      <c r="L111" s="45"/>
      <c r="M111" s="45"/>
      <c r="N111" s="47"/>
      <c r="O111" s="47"/>
    </row>
    <row r="112" spans="1:15">
      <c r="A112" s="39"/>
      <c r="B112" s="39"/>
      <c r="C112" s="39"/>
      <c r="D112" s="39"/>
      <c r="E112" s="39"/>
      <c r="F112" s="45"/>
      <c r="G112" s="45"/>
      <c r="H112" s="45"/>
      <c r="I112" s="45"/>
      <c r="J112" s="45"/>
      <c r="K112" s="45"/>
      <c r="L112" s="45"/>
      <c r="M112" s="45"/>
      <c r="N112" s="47"/>
      <c r="O112" s="47"/>
    </row>
    <row r="113" spans="1:15">
      <c r="A113" s="39"/>
      <c r="B113" s="39"/>
      <c r="C113" s="39"/>
      <c r="D113" s="39"/>
      <c r="E113" s="39"/>
      <c r="F113" s="45"/>
      <c r="G113" s="45"/>
      <c r="H113" s="45"/>
      <c r="I113" s="45"/>
      <c r="J113" s="45"/>
      <c r="K113" s="45"/>
      <c r="L113" s="45"/>
      <c r="M113" s="45"/>
      <c r="N113" s="47"/>
      <c r="O113" s="47"/>
    </row>
    <row r="114" spans="1:15">
      <c r="A114" s="39"/>
      <c r="B114" s="39"/>
      <c r="C114" s="39"/>
      <c r="D114" s="39"/>
      <c r="E114" s="39"/>
      <c r="F114" s="45"/>
      <c r="G114" s="45"/>
      <c r="H114" s="45"/>
      <c r="I114" s="45"/>
      <c r="J114" s="45"/>
      <c r="K114" s="45"/>
      <c r="L114" s="45"/>
      <c r="M114" s="45"/>
      <c r="N114" s="47"/>
      <c r="O114" s="47"/>
    </row>
    <row r="115" spans="1:15">
      <c r="A115" s="39"/>
      <c r="B115" s="39"/>
      <c r="C115" s="39"/>
      <c r="D115" s="39"/>
      <c r="E115" s="39"/>
      <c r="F115" s="45"/>
      <c r="G115" s="45"/>
      <c r="H115" s="45"/>
      <c r="I115" s="45"/>
      <c r="J115" s="45"/>
      <c r="K115" s="45"/>
      <c r="L115" s="45"/>
      <c r="M115" s="45"/>
      <c r="N115" s="47"/>
      <c r="O115" s="47"/>
    </row>
    <row r="116" spans="1:15">
      <c r="A116" s="39"/>
      <c r="B116" s="39"/>
      <c r="C116" s="39"/>
      <c r="D116" s="39"/>
      <c r="E116" s="39"/>
      <c r="F116" s="45"/>
      <c r="G116" s="45"/>
      <c r="H116" s="45"/>
      <c r="I116" s="45"/>
      <c r="J116" s="45"/>
      <c r="K116" s="45"/>
      <c r="L116" s="45"/>
      <c r="M116" s="45"/>
      <c r="N116" s="47"/>
      <c r="O116" s="47"/>
    </row>
    <row r="117" spans="1:15">
      <c r="A117" s="39"/>
      <c r="B117" s="39"/>
      <c r="C117" s="39"/>
      <c r="D117" s="39"/>
      <c r="E117" s="39"/>
      <c r="F117" s="45"/>
      <c r="G117" s="45"/>
      <c r="H117" s="45"/>
      <c r="I117" s="45"/>
      <c r="J117" s="45"/>
      <c r="K117" s="45"/>
      <c r="L117" s="45"/>
      <c r="M117" s="45"/>
      <c r="N117" s="47"/>
      <c r="O117" s="47"/>
    </row>
    <row r="118" spans="1:15">
      <c r="A118" s="39"/>
      <c r="B118" s="39"/>
      <c r="C118" s="39"/>
      <c r="D118" s="39"/>
      <c r="E118" s="39"/>
      <c r="F118" s="45"/>
      <c r="G118" s="45"/>
      <c r="H118" s="45"/>
      <c r="I118" s="45"/>
      <c r="J118" s="45"/>
      <c r="K118" s="45"/>
      <c r="L118" s="45"/>
      <c r="M118" s="45"/>
      <c r="N118" s="47"/>
      <c r="O118" s="47"/>
    </row>
    <row r="119" spans="1:15">
      <c r="A119" s="39"/>
      <c r="B119" s="39"/>
      <c r="C119" s="39"/>
      <c r="D119" s="39"/>
      <c r="E119" s="39"/>
      <c r="F119" s="45"/>
      <c r="G119" s="45"/>
      <c r="H119" s="45"/>
      <c r="I119" s="45"/>
      <c r="J119" s="45"/>
      <c r="K119" s="45"/>
      <c r="L119" s="45"/>
      <c r="M119" s="45"/>
      <c r="N119" s="47"/>
      <c r="O119" s="47"/>
    </row>
    <row r="120" spans="1:15">
      <c r="A120" s="39"/>
      <c r="B120" s="39"/>
      <c r="C120" s="39"/>
      <c r="D120" s="39"/>
      <c r="E120" s="39"/>
      <c r="F120" s="45"/>
      <c r="G120" s="45"/>
      <c r="H120" s="45"/>
      <c r="I120" s="45"/>
      <c r="J120" s="45"/>
      <c r="K120" s="45"/>
      <c r="L120" s="45"/>
      <c r="M120" s="45"/>
      <c r="N120" s="47"/>
      <c r="O120" s="47"/>
    </row>
    <row r="121" spans="1:15">
      <c r="A121" s="39"/>
      <c r="B121" s="39"/>
      <c r="C121" s="39"/>
      <c r="D121" s="39"/>
      <c r="E121" s="39"/>
      <c r="F121" s="45"/>
      <c r="G121" s="45"/>
      <c r="H121" s="45"/>
      <c r="I121" s="45"/>
      <c r="J121" s="45"/>
      <c r="K121" s="45"/>
      <c r="L121" s="45"/>
      <c r="M121" s="45"/>
      <c r="N121" s="47"/>
      <c r="O121" s="47"/>
    </row>
    <row r="122" spans="1:15">
      <c r="A122" s="39"/>
      <c r="B122" s="39"/>
      <c r="C122" s="39"/>
      <c r="D122" s="39"/>
      <c r="E122" s="39"/>
      <c r="F122" s="45"/>
      <c r="G122" s="45"/>
      <c r="H122" s="45"/>
      <c r="I122" s="45"/>
      <c r="J122" s="45"/>
      <c r="K122" s="45"/>
      <c r="L122" s="45"/>
      <c r="M122" s="45"/>
      <c r="N122" s="47"/>
      <c r="O122" s="47"/>
    </row>
    <row r="123" spans="1:15">
      <c r="A123" s="39"/>
      <c r="B123" s="39"/>
      <c r="C123" s="39"/>
      <c r="D123" s="39"/>
      <c r="E123" s="39"/>
      <c r="F123" s="45"/>
      <c r="G123" s="45"/>
      <c r="H123" s="45"/>
      <c r="I123" s="45"/>
      <c r="J123" s="45"/>
      <c r="K123" s="45"/>
      <c r="L123" s="45"/>
      <c r="M123" s="45"/>
      <c r="N123" s="47"/>
      <c r="O123" s="47"/>
    </row>
    <row r="124" spans="1:15">
      <c r="A124" s="39"/>
      <c r="B124" s="39"/>
      <c r="C124" s="39"/>
      <c r="D124" s="39"/>
      <c r="E124" s="39"/>
      <c r="F124" s="45"/>
      <c r="G124" s="45"/>
      <c r="H124" s="45"/>
      <c r="I124" s="45"/>
      <c r="J124" s="45"/>
      <c r="K124" s="45"/>
      <c r="L124" s="45"/>
      <c r="M124" s="45"/>
      <c r="N124" s="47"/>
      <c r="O124" s="47"/>
    </row>
    <row r="125" spans="1:15">
      <c r="A125" s="39"/>
      <c r="B125" s="39"/>
      <c r="C125" s="39"/>
      <c r="D125" s="39"/>
      <c r="E125" s="39"/>
      <c r="F125" s="45"/>
      <c r="G125" s="45"/>
      <c r="H125" s="45"/>
      <c r="I125" s="45"/>
      <c r="J125" s="45"/>
      <c r="K125" s="45"/>
      <c r="L125" s="45"/>
      <c r="M125" s="45"/>
      <c r="N125" s="47"/>
      <c r="O125" s="47"/>
    </row>
    <row r="126" spans="1:15">
      <c r="A126" s="39"/>
      <c r="B126" s="39"/>
      <c r="C126" s="39"/>
      <c r="D126" s="39"/>
      <c r="E126" s="39"/>
      <c r="F126" s="45"/>
      <c r="G126" s="45"/>
      <c r="H126" s="45"/>
      <c r="I126" s="45"/>
      <c r="J126" s="45"/>
      <c r="K126" s="45"/>
      <c r="L126" s="45"/>
      <c r="M126" s="45"/>
      <c r="N126" s="47"/>
      <c r="O126" s="47"/>
    </row>
    <row r="127" spans="1:15">
      <c r="A127" s="39"/>
      <c r="B127" s="39"/>
      <c r="C127" s="39"/>
      <c r="D127" s="39"/>
      <c r="E127" s="39"/>
      <c r="F127" s="45"/>
      <c r="G127" s="45"/>
      <c r="H127" s="45"/>
      <c r="I127" s="45"/>
      <c r="J127" s="45"/>
      <c r="K127" s="45"/>
      <c r="L127" s="45"/>
      <c r="M127" s="45"/>
      <c r="N127" s="47"/>
      <c r="O127" s="47"/>
    </row>
    <row r="128" spans="1:15">
      <c r="A128" s="39"/>
      <c r="B128" s="39"/>
      <c r="C128" s="39"/>
      <c r="D128" s="39"/>
      <c r="E128" s="39"/>
      <c r="F128" s="45"/>
      <c r="G128" s="45"/>
      <c r="H128" s="45"/>
      <c r="I128" s="45"/>
      <c r="J128" s="45"/>
      <c r="K128" s="45"/>
      <c r="L128" s="45"/>
      <c r="M128" s="45"/>
      <c r="N128" s="47"/>
      <c r="O128" s="47"/>
    </row>
    <row r="129" spans="1:15">
      <c r="A129" s="39"/>
      <c r="B129" s="39"/>
      <c r="C129" s="39"/>
      <c r="D129" s="39"/>
      <c r="E129" s="39"/>
      <c r="F129" s="45"/>
      <c r="G129" s="45"/>
      <c r="H129" s="45"/>
      <c r="I129" s="45"/>
      <c r="J129" s="45"/>
      <c r="K129" s="45"/>
      <c r="L129" s="45"/>
      <c r="M129" s="45"/>
      <c r="N129" s="47"/>
      <c r="O129" s="47"/>
    </row>
    <row r="130" spans="1:15">
      <c r="A130" s="39"/>
      <c r="B130" s="39"/>
      <c r="C130" s="39"/>
      <c r="D130" s="39"/>
      <c r="E130" s="39"/>
      <c r="F130" s="45"/>
      <c r="G130" s="45"/>
      <c r="H130" s="45"/>
      <c r="I130" s="45"/>
      <c r="J130" s="45"/>
      <c r="K130" s="45"/>
      <c r="L130" s="45"/>
      <c r="M130" s="45"/>
      <c r="N130" s="47"/>
      <c r="O130" s="47"/>
    </row>
    <row r="131" spans="1:15">
      <c r="A131" s="39"/>
      <c r="B131" s="39"/>
      <c r="C131" s="39"/>
      <c r="D131" s="39"/>
      <c r="E131" s="39"/>
      <c r="F131" s="45"/>
      <c r="G131" s="45"/>
      <c r="H131" s="45"/>
      <c r="I131" s="45"/>
      <c r="J131" s="45"/>
      <c r="K131" s="45"/>
      <c r="L131" s="45"/>
      <c r="M131" s="45"/>
      <c r="N131" s="47"/>
      <c r="O131" s="47"/>
    </row>
    <row r="132" spans="1:15">
      <c r="A132" s="39"/>
      <c r="B132" s="39"/>
      <c r="C132" s="39"/>
      <c r="D132" s="39"/>
      <c r="E132" s="39"/>
      <c r="F132" s="45"/>
      <c r="G132" s="45"/>
      <c r="H132" s="45"/>
      <c r="I132" s="45"/>
      <c r="J132" s="45"/>
      <c r="K132" s="45"/>
      <c r="L132" s="45"/>
      <c r="M132" s="45"/>
      <c r="N132" s="47"/>
      <c r="O132" s="47"/>
    </row>
    <row r="133" spans="1:15">
      <c r="A133" s="39"/>
      <c r="B133" s="39"/>
      <c r="C133" s="39"/>
      <c r="D133" s="39"/>
      <c r="E133" s="39"/>
      <c r="F133" s="45"/>
      <c r="G133" s="45"/>
      <c r="H133" s="45"/>
      <c r="I133" s="45"/>
      <c r="J133" s="45"/>
      <c r="K133" s="45"/>
      <c r="L133" s="45"/>
      <c r="M133" s="45"/>
      <c r="N133" s="47"/>
      <c r="O133" s="47"/>
    </row>
    <row r="134" spans="1:15">
      <c r="A134" s="39"/>
      <c r="B134" s="39"/>
      <c r="C134" s="39"/>
      <c r="D134" s="39"/>
      <c r="E134" s="39"/>
      <c r="F134" s="45"/>
      <c r="G134" s="45"/>
      <c r="H134" s="45"/>
      <c r="I134" s="45"/>
      <c r="J134" s="45"/>
      <c r="K134" s="45"/>
      <c r="L134" s="45"/>
      <c r="M134" s="45"/>
      <c r="N134" s="47"/>
      <c r="O134" s="47"/>
    </row>
    <row r="135" spans="1:15">
      <c r="A135" s="39"/>
      <c r="B135" s="39"/>
      <c r="C135" s="39"/>
      <c r="D135" s="39"/>
      <c r="E135" s="39"/>
      <c r="F135" s="45"/>
      <c r="G135" s="45"/>
      <c r="H135" s="45"/>
      <c r="I135" s="45"/>
      <c r="J135" s="45"/>
      <c r="K135" s="45"/>
      <c r="L135" s="45"/>
      <c r="M135" s="45"/>
      <c r="N135" s="47"/>
      <c r="O135" s="47"/>
    </row>
    <row r="136" spans="1:15">
      <c r="A136" s="39"/>
      <c r="B136" s="39"/>
      <c r="C136" s="39"/>
      <c r="D136" s="39"/>
      <c r="E136" s="39"/>
      <c r="F136" s="45"/>
      <c r="G136" s="45"/>
      <c r="H136" s="45"/>
      <c r="I136" s="45"/>
      <c r="J136" s="45"/>
      <c r="K136" s="45"/>
      <c r="L136" s="45"/>
      <c r="M136" s="45"/>
      <c r="N136" s="47"/>
      <c r="O136" s="47"/>
    </row>
    <row r="137" spans="1:15">
      <c r="A137" s="39"/>
      <c r="B137" s="39"/>
      <c r="C137" s="39"/>
      <c r="D137" s="39"/>
      <c r="E137" s="39"/>
      <c r="F137" s="45"/>
      <c r="G137" s="45"/>
      <c r="H137" s="45"/>
      <c r="I137" s="45"/>
      <c r="J137" s="45"/>
      <c r="K137" s="45"/>
      <c r="L137" s="45"/>
      <c r="M137" s="45"/>
      <c r="N137" s="47"/>
      <c r="O137" s="47"/>
    </row>
    <row r="138" spans="1:15">
      <c r="A138" s="39"/>
      <c r="B138" s="39"/>
      <c r="C138" s="39"/>
      <c r="D138" s="39"/>
      <c r="E138" s="39"/>
      <c r="F138" s="45"/>
      <c r="G138" s="45"/>
      <c r="H138" s="45"/>
      <c r="I138" s="45"/>
      <c r="J138" s="45"/>
      <c r="K138" s="45"/>
      <c r="L138" s="45"/>
      <c r="M138" s="45"/>
      <c r="N138" s="47"/>
      <c r="O138" s="47"/>
    </row>
    <row r="139" spans="1:15">
      <c r="A139" s="39"/>
      <c r="B139" s="39"/>
      <c r="C139" s="39"/>
      <c r="D139" s="39"/>
      <c r="E139" s="39"/>
      <c r="F139" s="45"/>
      <c r="G139" s="45"/>
      <c r="H139" s="45"/>
      <c r="I139" s="45"/>
      <c r="J139" s="45"/>
      <c r="K139" s="45"/>
      <c r="L139" s="45"/>
      <c r="M139" s="45"/>
      <c r="N139" s="47"/>
      <c r="O139" s="47"/>
    </row>
    <row r="140" spans="1:15">
      <c r="A140" s="39"/>
      <c r="B140" s="39"/>
      <c r="C140" s="39"/>
      <c r="D140" s="39"/>
      <c r="E140" s="39"/>
      <c r="F140" s="45"/>
      <c r="G140" s="45"/>
      <c r="H140" s="45"/>
      <c r="I140" s="45"/>
      <c r="J140" s="45"/>
      <c r="K140" s="45"/>
      <c r="L140" s="45"/>
      <c r="M140" s="45"/>
      <c r="N140" s="47"/>
      <c r="O140" s="47"/>
    </row>
    <row r="141" spans="1:15">
      <c r="A141" s="39"/>
      <c r="B141" s="39"/>
      <c r="C141" s="39"/>
      <c r="D141" s="39"/>
      <c r="E141" s="39"/>
      <c r="F141" s="45"/>
      <c r="G141" s="45"/>
      <c r="H141" s="45"/>
      <c r="I141" s="45"/>
      <c r="J141" s="45"/>
      <c r="K141" s="45"/>
      <c r="L141" s="45"/>
      <c r="M141" s="45"/>
      <c r="N141" s="47"/>
      <c r="O141" s="47"/>
    </row>
    <row r="142" spans="1:15">
      <c r="A142" s="39"/>
      <c r="B142" s="39"/>
      <c r="C142" s="39"/>
      <c r="D142" s="39"/>
      <c r="E142" s="39"/>
      <c r="F142" s="45"/>
      <c r="G142" s="45"/>
      <c r="H142" s="45"/>
      <c r="I142" s="45"/>
      <c r="J142" s="45"/>
      <c r="K142" s="45"/>
      <c r="L142" s="45"/>
      <c r="M142" s="45"/>
      <c r="N142" s="47"/>
      <c r="O142" s="47"/>
    </row>
  </sheetData>
  <mergeCells count="1">
    <mergeCell ref="B2:C2"/>
  </mergeCells>
  <phoneticPr fontId="10" type="noConversion"/>
  <conditionalFormatting sqref="F1:M3 F6:M1048576 G5:O5">
    <cfRule type="cellIs" dxfId="1" priority="2" operator="equal">
      <formula>"是"</formula>
    </cfRule>
  </conditionalFormatting>
  <conditionalFormatting sqref="N6:O142">
    <cfRule type="cellIs" dxfId="0" priority="1" operator="equal">
      <formula>"是"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cmd_InterfaceTypeValidation">
          <controlPr defaultSize="0" autoLine="0" autoPict="0" r:id="rId4">
            <anchor moveWithCells="1">
              <from>
                <xdr:col>5</xdr:col>
                <xdr:colOff>333375</xdr:colOff>
                <xdr:row>0</xdr:row>
                <xdr:rowOff>57150</xdr:rowOff>
              </from>
              <to>
                <xdr:col>7</xdr:col>
                <xdr:colOff>695325</xdr:colOff>
                <xdr:row>2</xdr:row>
                <xdr:rowOff>9525</xdr:rowOff>
              </to>
            </anchor>
          </controlPr>
        </control>
      </mc:Choice>
      <mc:Fallback>
        <control shapeId="14338" r:id="rId3" name="cmd_InterfaceTypeValid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B824"/>
  <sheetViews>
    <sheetView showGridLines="0" workbookViewId="0">
      <pane ySplit="3" topLeftCell="A5" activePane="bottomLeft" state="frozen"/>
      <selection pane="bottomLeft" activeCell="G29" sqref="G29"/>
    </sheetView>
  </sheetViews>
  <sheetFormatPr defaultColWidth="9.140625" defaultRowHeight="15"/>
  <cols>
    <col min="1" max="1" width="6.42578125" style="6" customWidth="1"/>
    <col min="2" max="2" width="11.28515625" style="23" customWidth="1"/>
    <col min="3" max="3" width="13.28515625" style="6" customWidth="1"/>
    <col min="4" max="4" width="43" style="2" customWidth="1"/>
    <col min="5" max="6" width="11.140625" style="2" customWidth="1"/>
    <col min="7" max="7" width="14.42578125" style="2" customWidth="1"/>
    <col min="8" max="8" width="44.28515625" style="2" customWidth="1"/>
    <col min="9" max="9" width="36" style="2" customWidth="1"/>
    <col min="10" max="10" width="10" style="2" customWidth="1"/>
    <col min="11" max="11" width="13.85546875" style="2" customWidth="1"/>
    <col min="12" max="16384" width="9.140625" style="2"/>
  </cols>
  <sheetData>
    <row r="1" spans="1:28" ht="44.25" customHeight="1">
      <c r="B1" s="31" t="s">
        <v>52</v>
      </c>
      <c r="C1" s="15" t="s">
        <v>53</v>
      </c>
      <c r="E1" s="31"/>
      <c r="F1" s="31"/>
      <c r="G1" s="38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</row>
    <row r="2" spans="1:28">
      <c r="K2" s="78" t="s">
        <v>69</v>
      </c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28" s="6" customFormat="1">
      <c r="A3" s="10" t="s">
        <v>4</v>
      </c>
      <c r="B3" s="26" t="s">
        <v>54</v>
      </c>
      <c r="C3" s="10" t="s">
        <v>70</v>
      </c>
      <c r="D3" s="10" t="s">
        <v>55</v>
      </c>
      <c r="E3" s="20" t="s">
        <v>168</v>
      </c>
      <c r="F3" s="56" t="s">
        <v>409</v>
      </c>
      <c r="G3" s="10" t="s">
        <v>21</v>
      </c>
      <c r="H3" s="10" t="s">
        <v>22</v>
      </c>
      <c r="I3" s="10" t="s">
        <v>23</v>
      </c>
      <c r="J3" s="10" t="s">
        <v>24</v>
      </c>
      <c r="K3" s="10">
        <v>1</v>
      </c>
      <c r="L3" s="10">
        <f>K3+1</f>
        <v>2</v>
      </c>
      <c r="M3" s="10">
        <f t="shared" ref="M3:AB3" si="0">L3+1</f>
        <v>3</v>
      </c>
      <c r="N3" s="10">
        <f t="shared" si="0"/>
        <v>4</v>
      </c>
      <c r="O3" s="10">
        <f t="shared" si="0"/>
        <v>5</v>
      </c>
      <c r="P3" s="10">
        <f t="shared" si="0"/>
        <v>6</v>
      </c>
      <c r="Q3" s="10">
        <f t="shared" si="0"/>
        <v>7</v>
      </c>
      <c r="R3" s="10">
        <f t="shared" si="0"/>
        <v>8</v>
      </c>
      <c r="S3" s="10">
        <f t="shared" si="0"/>
        <v>9</v>
      </c>
      <c r="T3" s="10">
        <f t="shared" si="0"/>
        <v>10</v>
      </c>
      <c r="U3" s="10">
        <f t="shared" si="0"/>
        <v>11</v>
      </c>
      <c r="V3" s="10">
        <f t="shared" si="0"/>
        <v>12</v>
      </c>
      <c r="W3" s="10">
        <f t="shared" si="0"/>
        <v>13</v>
      </c>
      <c r="X3" s="10">
        <f t="shared" si="0"/>
        <v>14</v>
      </c>
      <c r="Y3" s="10">
        <f t="shared" si="0"/>
        <v>15</v>
      </c>
      <c r="Z3" s="10">
        <f t="shared" si="0"/>
        <v>16</v>
      </c>
      <c r="AA3" s="10">
        <f t="shared" si="0"/>
        <v>17</v>
      </c>
      <c r="AB3" s="10">
        <f t="shared" si="0"/>
        <v>18</v>
      </c>
    </row>
    <row r="4" spans="1:28" hidden="1">
      <c r="A4" s="8"/>
      <c r="B4" s="25" t="s">
        <v>56</v>
      </c>
      <c r="C4" s="14"/>
      <c r="D4" s="9" t="s">
        <v>57</v>
      </c>
      <c r="E4" s="9" t="s">
        <v>402</v>
      </c>
      <c r="F4" s="9" t="s">
        <v>401</v>
      </c>
      <c r="G4" s="9" t="s">
        <v>28</v>
      </c>
      <c r="H4" s="9" t="s">
        <v>29</v>
      </c>
      <c r="I4" s="9" t="s">
        <v>30</v>
      </c>
      <c r="J4" s="9" t="s">
        <v>31</v>
      </c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</row>
    <row r="5" spans="1:28" s="12" customFormat="1" ht="12.75">
      <c r="A5" s="13">
        <v>1</v>
      </c>
      <c r="B5" s="13">
        <f>A5+1</f>
        <v>2</v>
      </c>
      <c r="C5" s="13">
        <f t="shared" ref="C5:D5" si="1">B5+1</f>
        <v>3</v>
      </c>
      <c r="D5" s="13">
        <f t="shared" si="1"/>
        <v>4</v>
      </c>
      <c r="E5" s="13">
        <f t="shared" ref="E5" si="2">D5+1</f>
        <v>5</v>
      </c>
      <c r="F5" s="13">
        <f t="shared" ref="F5" si="3">E5+1</f>
        <v>6</v>
      </c>
      <c r="G5" s="13">
        <f t="shared" ref="G5" si="4">F5+1</f>
        <v>7</v>
      </c>
      <c r="H5" s="13">
        <f t="shared" ref="H5" si="5">G5+1</f>
        <v>8</v>
      </c>
      <c r="I5" s="13">
        <f t="shared" ref="I5" si="6">H5+1</f>
        <v>9</v>
      </c>
      <c r="J5" s="13">
        <f t="shared" ref="J5" si="7">I5+1</f>
        <v>10</v>
      </c>
      <c r="K5" s="13">
        <f t="shared" ref="K5" si="8">J5+1</f>
        <v>11</v>
      </c>
      <c r="L5" s="13">
        <f t="shared" ref="L5" si="9">K5+1</f>
        <v>12</v>
      </c>
      <c r="M5" s="13">
        <f t="shared" ref="M5" si="10">L5+1</f>
        <v>13</v>
      </c>
      <c r="N5" s="13">
        <f t="shared" ref="N5" si="11">M5+1</f>
        <v>14</v>
      </c>
      <c r="O5" s="13">
        <f t="shared" ref="O5" si="12">N5+1</f>
        <v>15</v>
      </c>
      <c r="P5" s="13">
        <f t="shared" ref="P5" si="13">O5+1</f>
        <v>16</v>
      </c>
      <c r="Q5" s="13">
        <f t="shared" ref="Q5" si="14">P5+1</f>
        <v>17</v>
      </c>
      <c r="R5" s="13">
        <f t="shared" ref="R5" si="15">Q5+1</f>
        <v>18</v>
      </c>
      <c r="S5" s="13">
        <f t="shared" ref="S5" si="16">R5+1</f>
        <v>19</v>
      </c>
      <c r="T5" s="13">
        <f t="shared" ref="T5" si="17">S5+1</f>
        <v>20</v>
      </c>
      <c r="U5" s="13">
        <f t="shared" ref="U5" si="18">T5+1</f>
        <v>21</v>
      </c>
      <c r="V5" s="13">
        <f t="shared" ref="V5" si="19">U5+1</f>
        <v>22</v>
      </c>
      <c r="W5" s="13">
        <f t="shared" ref="W5" si="20">V5+1</f>
        <v>23</v>
      </c>
      <c r="X5" s="13">
        <f t="shared" ref="X5" si="21">W5+1</f>
        <v>24</v>
      </c>
      <c r="Y5" s="13">
        <f t="shared" ref="Y5" si="22">X5+1</f>
        <v>25</v>
      </c>
      <c r="Z5" s="13">
        <f t="shared" ref="Z5" si="23">Y5+1</f>
        <v>26</v>
      </c>
      <c r="AA5" s="13">
        <f t="shared" ref="AA5" si="24">Z5+1</f>
        <v>27</v>
      </c>
      <c r="AB5" s="13">
        <f t="shared" ref="AB5" si="25">AA5+1</f>
        <v>28</v>
      </c>
    </row>
    <row r="6" spans="1:28" s="30" customFormat="1">
      <c r="A6" s="29">
        <v>1</v>
      </c>
      <c r="B6" s="33" t="s">
        <v>384</v>
      </c>
      <c r="C6" s="29" t="s">
        <v>6</v>
      </c>
      <c r="D6" s="27" t="s">
        <v>357</v>
      </c>
      <c r="E6" s="27"/>
      <c r="F6" s="27"/>
      <c r="G6" s="27" t="s">
        <v>341</v>
      </c>
      <c r="H6" s="27" t="str">
        <f>IF(G6="","",VLOOKUP(G6,业务功能_系统接口!$B$6:$H$1416,2,FALSE))</f>
        <v>用户登录-验证手机号是否为已注册手机号</v>
      </c>
      <c r="I6" s="27" t="str">
        <f>IF(G6="","",VLOOKUP(G6,业务功能_系统接口!$B$6:$H$1416,3,FALSE))</f>
        <v>/weChat/checkLoginMobile/check/login</v>
      </c>
      <c r="J6" s="27" t="str">
        <f>IF(G6="","",VLOOKUP(G6,业务功能_系统接口!$B$6:$H$1416,4,FALSE))</f>
        <v>POST</v>
      </c>
      <c r="K6" s="27" t="s">
        <v>385</v>
      </c>
      <c r="L6" s="27" t="s">
        <v>405</v>
      </c>
      <c r="M6" s="27" t="s">
        <v>406</v>
      </c>
      <c r="N6" s="27" t="s">
        <v>407</v>
      </c>
      <c r="O6" s="27" t="s">
        <v>408</v>
      </c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</row>
    <row r="7" spans="1:28">
      <c r="A7" s="22">
        <f t="shared" ref="A7:A70" si="26">A6+1</f>
        <v>2</v>
      </c>
      <c r="B7" s="33" t="s">
        <v>399</v>
      </c>
      <c r="C7" s="29" t="s">
        <v>6</v>
      </c>
      <c r="D7" s="27" t="s">
        <v>400</v>
      </c>
      <c r="E7" s="27" t="s">
        <v>341</v>
      </c>
      <c r="F7" s="27"/>
      <c r="G7" s="27" t="s">
        <v>297</v>
      </c>
      <c r="H7" s="9" t="str">
        <f>IF(G7="","",VLOOKUP(G7,业务功能_系统接口!$B$6:$H$1416,2,FALSE))</f>
        <v>用户管理-查询用户绑定车牌</v>
      </c>
      <c r="I7" s="9" t="str">
        <f>IF(G7="","",VLOOKUP(G7,业务功能_系统接口!$B$6:$H$1416,3,FALSE))</f>
        <v>/weChat/customerCar/getList/token</v>
      </c>
      <c r="J7" s="9" t="str">
        <f>IF(G7="","",VLOOKUP(G7,业务功能_系统接口!$B$6:$H$1416,4,FALSE))</f>
        <v>POST</v>
      </c>
      <c r="K7" s="27" t="s">
        <v>385</v>
      </c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</row>
    <row r="8" spans="1:28">
      <c r="A8" s="25">
        <f t="shared" si="26"/>
        <v>3</v>
      </c>
      <c r="B8" s="32"/>
      <c r="C8" s="21"/>
      <c r="D8" s="9"/>
      <c r="E8" s="9"/>
      <c r="F8" s="9"/>
      <c r="G8" s="9"/>
      <c r="H8" s="9" t="str">
        <f>IF(G8="","",VLOOKUP(G8,业务功能_系统接口!$B$6:$H$1416,2,FALSE))</f>
        <v/>
      </c>
      <c r="I8" s="9" t="str">
        <f>IF(G8="","",VLOOKUP(G8,业务功能_系统接口!$B$6:$H$1416,3,FALSE))</f>
        <v/>
      </c>
      <c r="J8" s="9" t="str">
        <f>IF(G8="","",VLOOKUP(G8,业务功能_系统接口!$B$6:$H$1416,4,FALSE))</f>
        <v/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</row>
    <row r="9" spans="1:28">
      <c r="A9" s="25">
        <f t="shared" si="26"/>
        <v>4</v>
      </c>
      <c r="B9" s="32"/>
      <c r="C9" s="21"/>
      <c r="D9" s="9"/>
      <c r="E9" s="9"/>
      <c r="F9" s="9"/>
      <c r="G9" s="9"/>
      <c r="H9" s="9" t="str">
        <f>IF(G9="","",VLOOKUP(G9,业务功能_系统接口!$B$6:$H$1416,2,FALSE))</f>
        <v/>
      </c>
      <c r="I9" s="9" t="str">
        <f>IF(G9="","",VLOOKUP(G9,业务功能_系统接口!$B$6:$H$1416,3,FALSE))</f>
        <v/>
      </c>
      <c r="J9" s="9" t="str">
        <f>IF(G9="","",VLOOKUP(G9,业务功能_系统接口!$B$6:$H$1416,4,FALSE))</f>
        <v/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</row>
    <row r="10" spans="1:28">
      <c r="A10" s="25">
        <f t="shared" si="26"/>
        <v>5</v>
      </c>
      <c r="B10" s="32"/>
      <c r="C10" s="21"/>
      <c r="D10" s="9"/>
      <c r="E10" s="9"/>
      <c r="F10" s="9"/>
      <c r="G10" s="9"/>
      <c r="H10" s="9" t="str">
        <f>IF(G10="","",VLOOKUP(G10,业务功能_系统接口!$B$6:$H$1416,2,FALSE))</f>
        <v/>
      </c>
      <c r="I10" s="9" t="str">
        <f>IF(G10="","",VLOOKUP(G10,业务功能_系统接口!$B$6:$H$1416,3,FALSE))</f>
        <v/>
      </c>
      <c r="J10" s="9" t="str">
        <f>IF(G10="","",VLOOKUP(G10,业务功能_系统接口!$B$6:$H$1416,4,FALSE))</f>
        <v/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</row>
    <row r="11" spans="1:28">
      <c r="A11" s="25">
        <f t="shared" si="26"/>
        <v>6</v>
      </c>
      <c r="B11" s="32"/>
      <c r="C11" s="21"/>
      <c r="D11" s="9"/>
      <c r="E11" s="9"/>
      <c r="F11" s="9"/>
      <c r="G11" s="9"/>
      <c r="H11" s="9" t="str">
        <f>IF(G11="","",VLOOKUP(G11,业务功能_系统接口!$B$6:$H$1416,2,FALSE))</f>
        <v/>
      </c>
      <c r="I11" s="9" t="str">
        <f>IF(G11="","",VLOOKUP(G11,业务功能_系统接口!$B$6:$H$1416,3,FALSE))</f>
        <v/>
      </c>
      <c r="J11" s="9" t="str">
        <f>IF(G11="","",VLOOKUP(G11,业务功能_系统接口!$B$6:$H$1416,4,FALSE))</f>
        <v/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</row>
    <row r="12" spans="1:28">
      <c r="A12" s="25">
        <f t="shared" si="26"/>
        <v>7</v>
      </c>
      <c r="B12" s="32"/>
      <c r="C12" s="21"/>
      <c r="D12" s="9"/>
      <c r="E12" s="9"/>
      <c r="F12" s="9"/>
      <c r="G12" s="9"/>
      <c r="H12" s="9" t="str">
        <f>IF(G12="","",VLOOKUP(G12,业务功能_系统接口!$B$6:$H$1416,2,FALSE))</f>
        <v/>
      </c>
      <c r="I12" s="9" t="str">
        <f>IF(G12="","",VLOOKUP(G12,业务功能_系统接口!$B$6:$H$1416,3,FALSE))</f>
        <v/>
      </c>
      <c r="J12" s="9" t="str">
        <f>IF(G12="","",VLOOKUP(G12,业务功能_系统接口!$B$6:$H$1416,4,FALSE))</f>
        <v/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</row>
    <row r="13" spans="1:28">
      <c r="A13" s="25">
        <f t="shared" si="26"/>
        <v>8</v>
      </c>
      <c r="B13" s="32"/>
      <c r="C13" s="21"/>
      <c r="D13" s="9"/>
      <c r="E13" s="9"/>
      <c r="F13" s="9"/>
      <c r="G13" s="9"/>
      <c r="H13" s="9" t="str">
        <f>IF(G13="","",VLOOKUP(G13,业务功能_系统接口!$B$6:$H$1416,2,FALSE))</f>
        <v/>
      </c>
      <c r="I13" s="9" t="str">
        <f>IF(G13="","",VLOOKUP(G13,业务功能_系统接口!$B$6:$H$1416,3,FALSE))</f>
        <v/>
      </c>
      <c r="J13" s="9" t="str">
        <f>IF(G13="","",VLOOKUP(G13,业务功能_系统接口!$B$6:$H$1416,4,FALSE))</f>
        <v/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</row>
    <row r="14" spans="1:28">
      <c r="A14" s="25">
        <f t="shared" si="26"/>
        <v>9</v>
      </c>
      <c r="B14" s="32"/>
      <c r="C14" s="21"/>
      <c r="D14" s="9"/>
      <c r="E14" s="9"/>
      <c r="F14" s="9"/>
      <c r="G14" s="9"/>
      <c r="H14" s="9" t="str">
        <f>IF(G14="","",VLOOKUP(G14,业务功能_系统接口!$B$6:$H$1416,2,FALSE))</f>
        <v/>
      </c>
      <c r="I14" s="9" t="str">
        <f>IF(G14="","",VLOOKUP(G14,业务功能_系统接口!$B$6:$H$1416,3,FALSE))</f>
        <v/>
      </c>
      <c r="J14" s="9" t="str">
        <f>IF(G14="","",VLOOKUP(G14,业务功能_系统接口!$B$6:$H$1416,4,FALSE))</f>
        <v/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</row>
    <row r="15" spans="1:28">
      <c r="A15" s="25">
        <f t="shared" si="26"/>
        <v>10</v>
      </c>
      <c r="B15" s="32"/>
      <c r="C15" s="21"/>
      <c r="D15" s="9"/>
      <c r="E15" s="9"/>
      <c r="F15" s="9"/>
      <c r="G15" s="9"/>
      <c r="H15" s="9" t="str">
        <f>IF(G15="","",VLOOKUP(G15,业务功能_系统接口!$B$6:$H$1416,2,FALSE))</f>
        <v/>
      </c>
      <c r="I15" s="9" t="str">
        <f>IF(G15="","",VLOOKUP(G15,业务功能_系统接口!$B$6:$H$1416,3,FALSE))</f>
        <v/>
      </c>
      <c r="J15" s="9" t="str">
        <f>IF(G15="","",VLOOKUP(G15,业务功能_系统接口!$B$6:$H$1416,4,FALSE))</f>
        <v/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</row>
    <row r="16" spans="1:28">
      <c r="A16" s="25">
        <f t="shared" si="26"/>
        <v>11</v>
      </c>
      <c r="B16" s="32"/>
      <c r="C16" s="21"/>
      <c r="D16" s="9"/>
      <c r="E16" s="9"/>
      <c r="F16" s="9"/>
      <c r="G16" s="9"/>
      <c r="H16" s="9" t="str">
        <f>IF(G16="","",VLOOKUP(G16,业务功能_系统接口!$B$6:$H$1416,2,FALSE))</f>
        <v/>
      </c>
      <c r="I16" s="9" t="str">
        <f>IF(G16="","",VLOOKUP(G16,业务功能_系统接口!$B$6:$H$1416,3,FALSE))</f>
        <v/>
      </c>
      <c r="J16" s="9" t="str">
        <f>IF(G16="","",VLOOKUP(G16,业务功能_系统接口!$B$6:$H$1416,4,FALSE))</f>
        <v/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</row>
    <row r="17" spans="1:28">
      <c r="A17" s="25">
        <f t="shared" si="26"/>
        <v>12</v>
      </c>
      <c r="B17" s="32"/>
      <c r="C17" s="21"/>
      <c r="D17" s="9"/>
      <c r="E17" s="9"/>
      <c r="F17" s="9"/>
      <c r="G17" s="9"/>
      <c r="H17" s="9" t="str">
        <f>IF(G17="","",VLOOKUP(G17,业务功能_系统接口!$B$6:$H$1416,2,FALSE))</f>
        <v/>
      </c>
      <c r="I17" s="9" t="str">
        <f>IF(G17="","",VLOOKUP(G17,业务功能_系统接口!$B$6:$H$1416,3,FALSE))</f>
        <v/>
      </c>
      <c r="J17" s="9" t="str">
        <f>IF(G17="","",VLOOKUP(G17,业务功能_系统接口!$B$6:$H$1416,4,FALSE))</f>
        <v/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</row>
    <row r="18" spans="1:28">
      <c r="A18" s="25">
        <f t="shared" si="26"/>
        <v>13</v>
      </c>
      <c r="B18" s="32"/>
      <c r="C18" s="21"/>
      <c r="D18" s="9"/>
      <c r="E18" s="9"/>
      <c r="F18" s="9"/>
      <c r="G18" s="9"/>
      <c r="H18" s="9" t="str">
        <f>IF(G18="","",VLOOKUP(G18,业务功能_系统接口!$B$6:$H$1416,2,FALSE))</f>
        <v/>
      </c>
      <c r="I18" s="9" t="str">
        <f>IF(G18="","",VLOOKUP(G18,业务功能_系统接口!$B$6:$H$1416,3,FALSE))</f>
        <v/>
      </c>
      <c r="J18" s="9" t="str">
        <f>IF(G18="","",VLOOKUP(G18,业务功能_系统接口!$B$6:$H$1416,4,FALSE))</f>
        <v/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</row>
    <row r="19" spans="1:28">
      <c r="A19" s="25">
        <f t="shared" si="26"/>
        <v>14</v>
      </c>
      <c r="B19" s="32"/>
      <c r="C19" s="21"/>
      <c r="D19" s="9"/>
      <c r="E19" s="9"/>
      <c r="F19" s="9"/>
      <c r="G19" s="9"/>
      <c r="H19" s="9" t="str">
        <f>IF(G19="","",VLOOKUP(G19,业务功能_系统接口!$B$6:$H$1416,2,FALSE))</f>
        <v/>
      </c>
      <c r="I19" s="9" t="str">
        <f>IF(G19="","",VLOOKUP(G19,业务功能_系统接口!$B$6:$H$1416,3,FALSE))</f>
        <v/>
      </c>
      <c r="J19" s="9" t="str">
        <f>IF(G19="","",VLOOKUP(G19,业务功能_系统接口!$B$6:$H$1416,4,FALSE))</f>
        <v/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</row>
    <row r="20" spans="1:28">
      <c r="A20" s="25">
        <f t="shared" si="26"/>
        <v>15</v>
      </c>
      <c r="B20" s="32"/>
      <c r="C20" s="21"/>
      <c r="D20" s="9"/>
      <c r="E20" s="9"/>
      <c r="F20" s="9"/>
      <c r="G20" s="9"/>
      <c r="H20" s="9" t="str">
        <f>IF(G20="","",VLOOKUP(G20,业务功能_系统接口!$B$6:$H$1416,2,FALSE))</f>
        <v/>
      </c>
      <c r="I20" s="9" t="str">
        <f>IF(G20="","",VLOOKUP(G20,业务功能_系统接口!$B$6:$H$1416,3,FALSE))</f>
        <v/>
      </c>
      <c r="J20" s="9" t="str">
        <f>IF(G20="","",VLOOKUP(G20,业务功能_系统接口!$B$6:$H$1416,4,FALSE))</f>
        <v/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</row>
    <row r="21" spans="1:28">
      <c r="A21" s="25">
        <f t="shared" si="26"/>
        <v>16</v>
      </c>
      <c r="B21" s="32"/>
      <c r="C21" s="21"/>
      <c r="D21" s="9"/>
      <c r="E21" s="9"/>
      <c r="F21" s="9"/>
      <c r="G21" s="9"/>
      <c r="H21" s="9" t="str">
        <f>IF(G21="","",VLOOKUP(G21,业务功能_系统接口!$B$6:$H$1416,2,FALSE))</f>
        <v/>
      </c>
      <c r="I21" s="9" t="str">
        <f>IF(G21="","",VLOOKUP(G21,业务功能_系统接口!$B$6:$H$1416,3,FALSE))</f>
        <v/>
      </c>
      <c r="J21" s="9" t="str">
        <f>IF(G21="","",VLOOKUP(G21,业务功能_系统接口!$B$6:$H$1416,4,FALSE))</f>
        <v/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</row>
    <row r="22" spans="1:28">
      <c r="A22" s="25">
        <f t="shared" si="26"/>
        <v>17</v>
      </c>
      <c r="B22" s="32"/>
      <c r="C22" s="21"/>
      <c r="D22" s="9"/>
      <c r="E22" s="9"/>
      <c r="F22" s="9"/>
      <c r="G22" s="9"/>
      <c r="H22" s="9" t="str">
        <f>IF(G22="","",VLOOKUP(G22,业务功能_系统接口!$B$6:$H$1416,2,FALSE))</f>
        <v/>
      </c>
      <c r="I22" s="9" t="str">
        <f>IF(G22="","",VLOOKUP(G22,业务功能_系统接口!$B$6:$H$1416,3,FALSE))</f>
        <v/>
      </c>
      <c r="J22" s="9" t="str">
        <f>IF(G22="","",VLOOKUP(G22,业务功能_系统接口!$B$6:$H$1416,4,FALSE))</f>
        <v/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</row>
    <row r="23" spans="1:28">
      <c r="A23" s="25">
        <f t="shared" si="26"/>
        <v>18</v>
      </c>
      <c r="B23" s="32"/>
      <c r="C23" s="21"/>
      <c r="D23" s="9"/>
      <c r="E23" s="9"/>
      <c r="F23" s="9"/>
      <c r="G23" s="9"/>
      <c r="H23" s="9" t="str">
        <f>IF(G23="","",VLOOKUP(G23,业务功能_系统接口!$B$6:$H$1416,2,FALSE))</f>
        <v/>
      </c>
      <c r="I23" s="9" t="str">
        <f>IF(G23="","",VLOOKUP(G23,业务功能_系统接口!$B$6:$H$1416,3,FALSE))</f>
        <v/>
      </c>
      <c r="J23" s="9" t="str">
        <f>IF(G23="","",VLOOKUP(G23,业务功能_系统接口!$B$6:$H$1416,4,FALSE))</f>
        <v/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</row>
    <row r="24" spans="1:28">
      <c r="A24" s="25">
        <f t="shared" si="26"/>
        <v>19</v>
      </c>
      <c r="B24" s="32"/>
      <c r="C24" s="21"/>
      <c r="D24" s="9"/>
      <c r="E24" s="9"/>
      <c r="F24" s="9"/>
      <c r="G24" s="9"/>
      <c r="H24" s="9" t="str">
        <f>IF(G24="","",VLOOKUP(G24,业务功能_系统接口!$B$6:$H$1416,2,FALSE))</f>
        <v/>
      </c>
      <c r="I24" s="9" t="str">
        <f>IF(G24="","",VLOOKUP(G24,业务功能_系统接口!$B$6:$H$1416,3,FALSE))</f>
        <v/>
      </c>
      <c r="J24" s="9" t="str">
        <f>IF(G24="","",VLOOKUP(G24,业务功能_系统接口!$B$6:$H$1416,4,FALSE))</f>
        <v/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</row>
    <row r="25" spans="1:28">
      <c r="A25" s="25">
        <f t="shared" si="26"/>
        <v>20</v>
      </c>
      <c r="B25" s="32"/>
      <c r="C25" s="21"/>
      <c r="D25" s="9"/>
      <c r="E25" s="9"/>
      <c r="F25" s="9"/>
      <c r="G25" s="9"/>
      <c r="H25" s="9" t="str">
        <f>IF(G25="","",VLOOKUP(G25,业务功能_系统接口!$B$6:$H$1416,2,FALSE))</f>
        <v/>
      </c>
      <c r="I25" s="9" t="str">
        <f>IF(G25="","",VLOOKUP(G25,业务功能_系统接口!$B$6:$H$1416,3,FALSE))</f>
        <v/>
      </c>
      <c r="J25" s="9" t="str">
        <f>IF(G25="","",VLOOKUP(G25,业务功能_系统接口!$B$6:$H$1416,4,FALSE))</f>
        <v/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</row>
    <row r="26" spans="1:28">
      <c r="A26" s="25">
        <f t="shared" si="26"/>
        <v>21</v>
      </c>
      <c r="B26" s="32"/>
      <c r="C26" s="21"/>
      <c r="D26" s="9"/>
      <c r="E26" s="9"/>
      <c r="F26" s="9"/>
      <c r="G26" s="9"/>
      <c r="H26" s="9" t="str">
        <f>IF(G26="","",VLOOKUP(G26,业务功能_系统接口!$B$6:$H$1416,2,FALSE))</f>
        <v/>
      </c>
      <c r="I26" s="9" t="str">
        <f>IF(G26="","",VLOOKUP(G26,业务功能_系统接口!$B$6:$H$1416,3,FALSE))</f>
        <v/>
      </c>
      <c r="J26" s="9" t="str">
        <f>IF(G26="","",VLOOKUP(G26,业务功能_系统接口!$B$6:$H$1416,4,FALSE))</f>
        <v/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</row>
    <row r="27" spans="1:28">
      <c r="A27" s="25">
        <f t="shared" si="26"/>
        <v>22</v>
      </c>
      <c r="B27" s="32"/>
      <c r="C27" s="21"/>
      <c r="D27" s="9"/>
      <c r="E27" s="9"/>
      <c r="F27" s="9"/>
      <c r="G27" s="9"/>
      <c r="H27" s="9" t="str">
        <f>IF(G27="","",VLOOKUP(G27,业务功能_系统接口!$B$6:$H$1416,2,FALSE))</f>
        <v/>
      </c>
      <c r="I27" s="9" t="str">
        <f>IF(G27="","",VLOOKUP(G27,业务功能_系统接口!$B$6:$H$1416,3,FALSE))</f>
        <v/>
      </c>
      <c r="J27" s="9" t="str">
        <f>IF(G27="","",VLOOKUP(G27,业务功能_系统接口!$B$6:$H$1416,4,FALSE))</f>
        <v/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</row>
    <row r="28" spans="1:28">
      <c r="A28" s="25">
        <f t="shared" si="26"/>
        <v>23</v>
      </c>
      <c r="B28" s="32"/>
      <c r="C28" s="21"/>
      <c r="D28" s="9"/>
      <c r="E28" s="9"/>
      <c r="F28" s="9"/>
      <c r="G28" s="9"/>
      <c r="H28" s="9" t="str">
        <f>IF(G28="","",VLOOKUP(G28,业务功能_系统接口!$B$6:$H$1416,2,FALSE))</f>
        <v/>
      </c>
      <c r="I28" s="9" t="str">
        <f>IF(G28="","",VLOOKUP(G28,业务功能_系统接口!$B$6:$H$1416,3,FALSE))</f>
        <v/>
      </c>
      <c r="J28" s="9" t="str">
        <f>IF(G28="","",VLOOKUP(G28,业务功能_系统接口!$B$6:$H$1416,4,FALSE))</f>
        <v/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</row>
    <row r="29" spans="1:28">
      <c r="A29" s="25">
        <f t="shared" si="26"/>
        <v>24</v>
      </c>
      <c r="B29" s="32"/>
      <c r="C29" s="21"/>
      <c r="D29" s="9"/>
      <c r="E29" s="9"/>
      <c r="F29" s="9"/>
      <c r="G29" s="9"/>
      <c r="H29" s="9" t="str">
        <f>IF(G29="","",VLOOKUP(G29,业务功能_系统接口!$B$6:$H$1416,2,FALSE))</f>
        <v/>
      </c>
      <c r="I29" s="9" t="str">
        <f>IF(G29="","",VLOOKUP(G29,业务功能_系统接口!$B$6:$H$1416,3,FALSE))</f>
        <v/>
      </c>
      <c r="J29" s="9" t="str">
        <f>IF(G29="","",VLOOKUP(G29,业务功能_系统接口!$B$6:$H$1416,4,FALSE))</f>
        <v/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</row>
    <row r="30" spans="1:28">
      <c r="A30" s="25">
        <f t="shared" si="26"/>
        <v>25</v>
      </c>
      <c r="B30" s="32"/>
      <c r="C30" s="21"/>
      <c r="D30" s="9"/>
      <c r="E30" s="9"/>
      <c r="F30" s="9"/>
      <c r="G30" s="9"/>
      <c r="H30" s="9" t="str">
        <f>IF(G30="","",VLOOKUP(G30,业务功能_系统接口!$B$6:$H$1416,2,FALSE))</f>
        <v/>
      </c>
      <c r="I30" s="9" t="str">
        <f>IF(G30="","",VLOOKUP(G30,业务功能_系统接口!$B$6:$H$1416,3,FALSE))</f>
        <v/>
      </c>
      <c r="J30" s="9" t="str">
        <f>IF(G30="","",VLOOKUP(G30,业务功能_系统接口!$B$6:$H$1416,4,FALSE))</f>
        <v/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</row>
    <row r="31" spans="1:28">
      <c r="A31" s="25">
        <f t="shared" si="26"/>
        <v>26</v>
      </c>
      <c r="B31" s="32"/>
      <c r="C31" s="21"/>
      <c r="D31" s="9"/>
      <c r="E31" s="9"/>
      <c r="F31" s="9"/>
      <c r="G31" s="9"/>
      <c r="H31" s="9" t="str">
        <f>IF(G31="","",VLOOKUP(G31,业务功能_系统接口!$B$6:$H$1416,2,FALSE))</f>
        <v/>
      </c>
      <c r="I31" s="9" t="str">
        <f>IF(G31="","",VLOOKUP(G31,业务功能_系统接口!$B$6:$H$1416,3,FALSE))</f>
        <v/>
      </c>
      <c r="J31" s="9" t="str">
        <f>IF(G31="","",VLOOKUP(G31,业务功能_系统接口!$B$6:$H$1416,4,FALSE))</f>
        <v/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</row>
    <row r="32" spans="1:28">
      <c r="A32" s="25">
        <f t="shared" si="26"/>
        <v>27</v>
      </c>
      <c r="B32" s="32"/>
      <c r="C32" s="21"/>
      <c r="D32" s="9"/>
      <c r="E32" s="9"/>
      <c r="F32" s="9"/>
      <c r="G32" s="9"/>
      <c r="H32" s="9" t="str">
        <f>IF(G32="","",VLOOKUP(G32,业务功能_系统接口!$B$6:$H$1416,2,FALSE))</f>
        <v/>
      </c>
      <c r="I32" s="9" t="str">
        <f>IF(G32="","",VLOOKUP(G32,业务功能_系统接口!$B$6:$H$1416,3,FALSE))</f>
        <v/>
      </c>
      <c r="J32" s="9" t="str">
        <f>IF(G32="","",VLOOKUP(G32,业务功能_系统接口!$B$6:$H$1416,4,FALSE))</f>
        <v/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</row>
    <row r="33" spans="1:28">
      <c r="A33" s="25">
        <f t="shared" si="26"/>
        <v>28</v>
      </c>
      <c r="B33" s="32"/>
      <c r="C33" s="21"/>
      <c r="D33" s="9"/>
      <c r="E33" s="9"/>
      <c r="F33" s="9"/>
      <c r="G33" s="9"/>
      <c r="H33" s="9" t="str">
        <f>IF(G33="","",VLOOKUP(G33,业务功能_系统接口!$B$6:$H$1416,2,FALSE))</f>
        <v/>
      </c>
      <c r="I33" s="9" t="str">
        <f>IF(G33="","",VLOOKUP(G33,业务功能_系统接口!$B$6:$H$1416,3,FALSE))</f>
        <v/>
      </c>
      <c r="J33" s="9" t="str">
        <f>IF(G33="","",VLOOKUP(G33,业务功能_系统接口!$B$6:$H$1416,4,FALSE))</f>
        <v/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</row>
    <row r="34" spans="1:28">
      <c r="A34" s="25">
        <f t="shared" si="26"/>
        <v>29</v>
      </c>
      <c r="B34" s="32"/>
      <c r="C34" s="21"/>
      <c r="D34" s="9"/>
      <c r="E34" s="9"/>
      <c r="F34" s="9"/>
      <c r="G34" s="9"/>
      <c r="H34" s="9" t="str">
        <f>IF(G34="","",VLOOKUP(G34,业务功能_系统接口!$B$6:$H$1416,2,FALSE))</f>
        <v/>
      </c>
      <c r="I34" s="9" t="str">
        <f>IF(G34="","",VLOOKUP(G34,业务功能_系统接口!$B$6:$H$1416,3,FALSE))</f>
        <v/>
      </c>
      <c r="J34" s="9" t="str">
        <f>IF(G34="","",VLOOKUP(G34,业务功能_系统接口!$B$6:$H$1416,4,FALSE))</f>
        <v/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25">
        <f t="shared" si="26"/>
        <v>30</v>
      </c>
      <c r="B35" s="32"/>
      <c r="C35" s="21"/>
      <c r="D35" s="9"/>
      <c r="E35" s="9"/>
      <c r="F35" s="9"/>
      <c r="G35" s="9"/>
      <c r="H35" s="9" t="str">
        <f>IF(G35="","",VLOOKUP(G35,业务功能_系统接口!$B$6:$H$1416,2,FALSE))</f>
        <v/>
      </c>
      <c r="I35" s="9" t="str">
        <f>IF(G35="","",VLOOKUP(G35,业务功能_系统接口!$B$6:$H$1416,3,FALSE))</f>
        <v/>
      </c>
      <c r="J35" s="9" t="str">
        <f>IF(G35="","",VLOOKUP(G35,业务功能_系统接口!$B$6:$H$1416,4,FALSE))</f>
        <v/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</row>
    <row r="36" spans="1:28">
      <c r="A36" s="25">
        <f t="shared" si="26"/>
        <v>31</v>
      </c>
      <c r="B36" s="32"/>
      <c r="C36" s="21"/>
      <c r="D36" s="9"/>
      <c r="E36" s="9"/>
      <c r="F36" s="9"/>
      <c r="G36" s="9"/>
      <c r="H36" s="9" t="str">
        <f>IF(G36="","",VLOOKUP(G36,业务功能_系统接口!$B$6:$H$1416,2,FALSE))</f>
        <v/>
      </c>
      <c r="I36" s="9" t="str">
        <f>IF(G36="","",VLOOKUP(G36,业务功能_系统接口!$B$6:$H$1416,3,FALSE))</f>
        <v/>
      </c>
      <c r="J36" s="9" t="str">
        <f>IF(G36="","",VLOOKUP(G36,业务功能_系统接口!$B$6:$H$1416,4,FALSE))</f>
        <v/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</row>
    <row r="37" spans="1:28">
      <c r="A37" s="25">
        <f t="shared" si="26"/>
        <v>32</v>
      </c>
      <c r="B37" s="32"/>
      <c r="C37" s="21"/>
      <c r="D37" s="9"/>
      <c r="E37" s="9"/>
      <c r="F37" s="9"/>
      <c r="G37" s="9"/>
      <c r="H37" s="9" t="str">
        <f>IF(G37="","",VLOOKUP(G37,业务功能_系统接口!$B$6:$H$1416,2,FALSE))</f>
        <v/>
      </c>
      <c r="I37" s="9" t="str">
        <f>IF(G37="","",VLOOKUP(G37,业务功能_系统接口!$B$6:$H$1416,3,FALSE))</f>
        <v/>
      </c>
      <c r="J37" s="9" t="str">
        <f>IF(G37="","",VLOOKUP(G37,业务功能_系统接口!$B$6:$H$1416,4,FALSE))</f>
        <v/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</row>
    <row r="38" spans="1:28">
      <c r="A38" s="25">
        <f t="shared" si="26"/>
        <v>33</v>
      </c>
      <c r="B38" s="32"/>
      <c r="C38" s="21"/>
      <c r="D38" s="9"/>
      <c r="E38" s="9"/>
      <c r="F38" s="9"/>
      <c r="G38" s="9"/>
      <c r="H38" s="9" t="str">
        <f>IF(G38="","",VLOOKUP(G38,业务功能_系统接口!$B$6:$H$1416,2,FALSE))</f>
        <v/>
      </c>
      <c r="I38" s="9" t="str">
        <f>IF(G38="","",VLOOKUP(G38,业务功能_系统接口!$B$6:$H$1416,3,FALSE))</f>
        <v/>
      </c>
      <c r="J38" s="9" t="str">
        <f>IF(G38="","",VLOOKUP(G38,业务功能_系统接口!$B$6:$H$1416,4,FALSE))</f>
        <v/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</row>
    <row r="39" spans="1:28">
      <c r="A39" s="25">
        <f t="shared" si="26"/>
        <v>34</v>
      </c>
      <c r="B39" s="32"/>
      <c r="C39" s="21"/>
      <c r="D39" s="9"/>
      <c r="E39" s="9"/>
      <c r="F39" s="9"/>
      <c r="G39" s="9"/>
      <c r="H39" s="9" t="str">
        <f>IF(G39="","",VLOOKUP(G39,业务功能_系统接口!$B$6:$H$1416,2,FALSE))</f>
        <v/>
      </c>
      <c r="I39" s="9" t="str">
        <f>IF(G39="","",VLOOKUP(G39,业务功能_系统接口!$B$6:$H$1416,3,FALSE))</f>
        <v/>
      </c>
      <c r="J39" s="9" t="str">
        <f>IF(G39="","",VLOOKUP(G39,业务功能_系统接口!$B$6:$H$1416,4,FALSE))</f>
        <v/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</row>
    <row r="40" spans="1:28">
      <c r="A40" s="25">
        <f t="shared" si="26"/>
        <v>35</v>
      </c>
      <c r="B40" s="32"/>
      <c r="C40" s="21"/>
      <c r="D40" s="9"/>
      <c r="E40" s="9"/>
      <c r="F40" s="9"/>
      <c r="G40" s="9"/>
      <c r="H40" s="9" t="str">
        <f>IF(G40="","",VLOOKUP(G40,业务功能_系统接口!$B$6:$H$1416,2,FALSE))</f>
        <v/>
      </c>
      <c r="I40" s="9" t="str">
        <f>IF(G40="","",VLOOKUP(G40,业务功能_系统接口!$B$6:$H$1416,3,FALSE))</f>
        <v/>
      </c>
      <c r="J40" s="9" t="str">
        <f>IF(G40="","",VLOOKUP(G40,业务功能_系统接口!$B$6:$H$1416,4,FALSE))</f>
        <v/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</row>
    <row r="41" spans="1:28">
      <c r="A41" s="25">
        <f t="shared" si="26"/>
        <v>36</v>
      </c>
      <c r="B41" s="32"/>
      <c r="C41" s="21"/>
      <c r="D41" s="9"/>
      <c r="E41" s="9"/>
      <c r="F41" s="9"/>
      <c r="G41" s="9"/>
      <c r="H41" s="9" t="str">
        <f>IF(G41="","",VLOOKUP(G41,业务功能_系统接口!$B$6:$H$1416,2,FALSE))</f>
        <v/>
      </c>
      <c r="I41" s="9" t="str">
        <f>IF(G41="","",VLOOKUP(G41,业务功能_系统接口!$B$6:$H$1416,3,FALSE))</f>
        <v/>
      </c>
      <c r="J41" s="9" t="str">
        <f>IF(G41="","",VLOOKUP(G41,业务功能_系统接口!$B$6:$H$1416,4,FALSE))</f>
        <v/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</row>
    <row r="42" spans="1:28">
      <c r="A42" s="25">
        <f t="shared" si="26"/>
        <v>37</v>
      </c>
      <c r="B42" s="32"/>
      <c r="C42" s="21"/>
      <c r="D42" s="9"/>
      <c r="E42" s="9"/>
      <c r="F42" s="9"/>
      <c r="G42" s="9"/>
      <c r="H42" s="9" t="str">
        <f>IF(G42="","",VLOOKUP(G42,业务功能_系统接口!$B$6:$H$1416,2,FALSE))</f>
        <v/>
      </c>
      <c r="I42" s="9" t="str">
        <f>IF(G42="","",VLOOKUP(G42,业务功能_系统接口!$B$6:$H$1416,3,FALSE))</f>
        <v/>
      </c>
      <c r="J42" s="9" t="str">
        <f>IF(G42="","",VLOOKUP(G42,业务功能_系统接口!$B$6:$H$1416,4,FALSE))</f>
        <v/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</row>
    <row r="43" spans="1:28">
      <c r="A43" s="25">
        <f t="shared" si="26"/>
        <v>38</v>
      </c>
      <c r="B43" s="32"/>
      <c r="C43" s="21"/>
      <c r="D43" s="9"/>
      <c r="E43" s="9"/>
      <c r="F43" s="9"/>
      <c r="G43" s="9"/>
      <c r="H43" s="9" t="str">
        <f>IF(G43="","",VLOOKUP(G43,业务功能_系统接口!$B$6:$H$1416,2,FALSE))</f>
        <v/>
      </c>
      <c r="I43" s="9" t="str">
        <f>IF(G43="","",VLOOKUP(G43,业务功能_系统接口!$B$6:$H$1416,3,FALSE))</f>
        <v/>
      </c>
      <c r="J43" s="9" t="str">
        <f>IF(G43="","",VLOOKUP(G43,业务功能_系统接口!$B$6:$H$1416,4,FALSE))</f>
        <v/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</row>
    <row r="44" spans="1:28">
      <c r="A44" s="25">
        <f t="shared" si="26"/>
        <v>39</v>
      </c>
      <c r="B44" s="32"/>
      <c r="C44" s="21"/>
      <c r="D44" s="9"/>
      <c r="E44" s="9"/>
      <c r="F44" s="9"/>
      <c r="G44" s="9"/>
      <c r="H44" s="9" t="str">
        <f>IF(G44="","",VLOOKUP(G44,业务功能_系统接口!$B$6:$H$1416,2,FALSE))</f>
        <v/>
      </c>
      <c r="I44" s="9" t="str">
        <f>IF(G44="","",VLOOKUP(G44,业务功能_系统接口!$B$6:$H$1416,3,FALSE))</f>
        <v/>
      </c>
      <c r="J44" s="9" t="str">
        <f>IF(G44="","",VLOOKUP(G44,业务功能_系统接口!$B$6:$H$1416,4,FALSE))</f>
        <v/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</row>
    <row r="45" spans="1:28">
      <c r="A45" s="25">
        <f t="shared" si="26"/>
        <v>40</v>
      </c>
      <c r="B45" s="32"/>
      <c r="C45" s="21"/>
      <c r="D45" s="9"/>
      <c r="E45" s="9"/>
      <c r="F45" s="9"/>
      <c r="G45" s="9"/>
      <c r="H45" s="9" t="str">
        <f>IF(G45="","",VLOOKUP(G45,业务功能_系统接口!$B$6:$H$1416,2,FALSE))</f>
        <v/>
      </c>
      <c r="I45" s="9" t="str">
        <f>IF(G45="","",VLOOKUP(G45,业务功能_系统接口!$B$6:$H$1416,3,FALSE))</f>
        <v/>
      </c>
      <c r="J45" s="9" t="str">
        <f>IF(G45="","",VLOOKUP(G45,业务功能_系统接口!$B$6:$H$1416,4,FALSE))</f>
        <v/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</row>
    <row r="46" spans="1:28">
      <c r="A46" s="25">
        <f t="shared" si="26"/>
        <v>41</v>
      </c>
      <c r="B46" s="32"/>
      <c r="C46" s="21"/>
      <c r="D46" s="9"/>
      <c r="E46" s="9"/>
      <c r="F46" s="9"/>
      <c r="G46" s="9"/>
      <c r="H46" s="9" t="str">
        <f>IF(G46="","",VLOOKUP(G46,业务功能_系统接口!$B$6:$H$1416,2,FALSE))</f>
        <v/>
      </c>
      <c r="I46" s="9" t="str">
        <f>IF(G46="","",VLOOKUP(G46,业务功能_系统接口!$B$6:$H$1416,3,FALSE))</f>
        <v/>
      </c>
      <c r="J46" s="9" t="str">
        <f>IF(G46="","",VLOOKUP(G46,业务功能_系统接口!$B$6:$H$1416,4,FALSE))</f>
        <v/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</row>
    <row r="47" spans="1:28">
      <c r="A47" s="25">
        <f t="shared" si="26"/>
        <v>42</v>
      </c>
      <c r="B47" s="32"/>
      <c r="C47" s="21"/>
      <c r="D47" s="9"/>
      <c r="E47" s="9"/>
      <c r="F47" s="9"/>
      <c r="G47" s="9"/>
      <c r="H47" s="9" t="str">
        <f>IF(G47="","",VLOOKUP(G47,业务功能_系统接口!$B$6:$H$1416,2,FALSE))</f>
        <v/>
      </c>
      <c r="I47" s="9" t="str">
        <f>IF(G47="","",VLOOKUP(G47,业务功能_系统接口!$B$6:$H$1416,3,FALSE))</f>
        <v/>
      </c>
      <c r="J47" s="9" t="str">
        <f>IF(G47="","",VLOOKUP(G47,业务功能_系统接口!$B$6:$H$1416,4,FALSE))</f>
        <v/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</row>
    <row r="48" spans="1:28">
      <c r="A48" s="25">
        <f t="shared" si="26"/>
        <v>43</v>
      </c>
      <c r="B48" s="32"/>
      <c r="C48" s="21"/>
      <c r="D48" s="9"/>
      <c r="E48" s="9"/>
      <c r="F48" s="9"/>
      <c r="G48" s="9"/>
      <c r="H48" s="9" t="str">
        <f>IF(G48="","",VLOOKUP(G48,业务功能_系统接口!$B$6:$H$1416,2,FALSE))</f>
        <v/>
      </c>
      <c r="I48" s="9" t="str">
        <f>IF(G48="","",VLOOKUP(G48,业务功能_系统接口!$B$6:$H$1416,3,FALSE))</f>
        <v/>
      </c>
      <c r="J48" s="9" t="str">
        <f>IF(G48="","",VLOOKUP(G48,业务功能_系统接口!$B$6:$H$1416,4,FALSE))</f>
        <v/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</row>
    <row r="49" spans="1:28">
      <c r="A49" s="25">
        <f t="shared" si="26"/>
        <v>44</v>
      </c>
      <c r="B49" s="32"/>
      <c r="C49" s="21"/>
      <c r="D49" s="9"/>
      <c r="E49" s="9"/>
      <c r="F49" s="9"/>
      <c r="G49" s="9"/>
      <c r="H49" s="9" t="str">
        <f>IF(G49="","",VLOOKUP(G49,业务功能_系统接口!$B$6:$H$1416,2,FALSE))</f>
        <v/>
      </c>
      <c r="I49" s="9" t="str">
        <f>IF(G49="","",VLOOKUP(G49,业务功能_系统接口!$B$6:$H$1416,3,FALSE))</f>
        <v/>
      </c>
      <c r="J49" s="9" t="str">
        <f>IF(G49="","",VLOOKUP(G49,业务功能_系统接口!$B$6:$H$1416,4,FALSE))</f>
        <v/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</row>
    <row r="50" spans="1:28">
      <c r="A50" s="25">
        <f t="shared" si="26"/>
        <v>45</v>
      </c>
      <c r="B50" s="32"/>
      <c r="C50" s="21"/>
      <c r="D50" s="9"/>
      <c r="E50" s="9"/>
      <c r="F50" s="9"/>
      <c r="G50" s="9"/>
      <c r="H50" s="9" t="str">
        <f>IF(G50="","",VLOOKUP(G50,业务功能_系统接口!$B$6:$H$1416,2,FALSE))</f>
        <v/>
      </c>
      <c r="I50" s="9" t="str">
        <f>IF(G50="","",VLOOKUP(G50,业务功能_系统接口!$B$6:$H$1416,3,FALSE))</f>
        <v/>
      </c>
      <c r="J50" s="9" t="str">
        <f>IF(G50="","",VLOOKUP(G50,业务功能_系统接口!$B$6:$H$1416,4,FALSE))</f>
        <v/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</row>
    <row r="51" spans="1:28">
      <c r="A51" s="25">
        <f t="shared" si="26"/>
        <v>46</v>
      </c>
      <c r="B51" s="32"/>
      <c r="C51" s="21"/>
      <c r="D51" s="9"/>
      <c r="E51" s="9"/>
      <c r="F51" s="9"/>
      <c r="G51" s="9"/>
      <c r="H51" s="9" t="str">
        <f>IF(G51="","",VLOOKUP(G51,业务功能_系统接口!$B$6:$H$1416,2,FALSE))</f>
        <v/>
      </c>
      <c r="I51" s="9" t="str">
        <f>IF(G51="","",VLOOKUP(G51,业务功能_系统接口!$B$6:$H$1416,3,FALSE))</f>
        <v/>
      </c>
      <c r="J51" s="9" t="str">
        <f>IF(G51="","",VLOOKUP(G51,业务功能_系统接口!$B$6:$H$1416,4,FALSE))</f>
        <v/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</row>
    <row r="52" spans="1:28">
      <c r="A52" s="25">
        <f t="shared" si="26"/>
        <v>47</v>
      </c>
      <c r="B52" s="32"/>
      <c r="C52" s="21"/>
      <c r="D52" s="9"/>
      <c r="E52" s="9"/>
      <c r="F52" s="9"/>
      <c r="G52" s="9"/>
      <c r="H52" s="9" t="str">
        <f>IF(G52="","",VLOOKUP(G52,业务功能_系统接口!$B$6:$H$1416,2,FALSE))</f>
        <v/>
      </c>
      <c r="I52" s="9" t="str">
        <f>IF(G52="","",VLOOKUP(G52,业务功能_系统接口!$B$6:$H$1416,3,FALSE))</f>
        <v/>
      </c>
      <c r="J52" s="9" t="str">
        <f>IF(G52="","",VLOOKUP(G52,业务功能_系统接口!$B$6:$H$1416,4,FALSE))</f>
        <v/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</row>
    <row r="53" spans="1:28">
      <c r="A53" s="25">
        <f t="shared" si="26"/>
        <v>48</v>
      </c>
      <c r="B53" s="32"/>
      <c r="C53" s="21"/>
      <c r="D53" s="9"/>
      <c r="E53" s="9"/>
      <c r="F53" s="9"/>
      <c r="G53" s="9"/>
      <c r="H53" s="9" t="str">
        <f>IF(G53="","",VLOOKUP(G53,业务功能_系统接口!$B$6:$H$1416,2,FALSE))</f>
        <v/>
      </c>
      <c r="I53" s="9" t="str">
        <f>IF(G53="","",VLOOKUP(G53,业务功能_系统接口!$B$6:$H$1416,3,FALSE))</f>
        <v/>
      </c>
      <c r="J53" s="9" t="str">
        <f>IF(G53="","",VLOOKUP(G53,业务功能_系统接口!$B$6:$H$1416,4,FALSE))</f>
        <v/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</row>
    <row r="54" spans="1:28">
      <c r="A54" s="25">
        <f t="shared" si="26"/>
        <v>49</v>
      </c>
      <c r="B54" s="32"/>
      <c r="C54" s="21"/>
      <c r="D54" s="9"/>
      <c r="E54" s="9"/>
      <c r="F54" s="9"/>
      <c r="G54" s="9"/>
      <c r="H54" s="9" t="str">
        <f>IF(G54="","",VLOOKUP(G54,业务功能_系统接口!$B$6:$H$1416,2,FALSE))</f>
        <v/>
      </c>
      <c r="I54" s="9" t="str">
        <f>IF(G54="","",VLOOKUP(G54,业务功能_系统接口!$B$6:$H$1416,3,FALSE))</f>
        <v/>
      </c>
      <c r="J54" s="9" t="str">
        <f>IF(G54="","",VLOOKUP(G54,业务功能_系统接口!$B$6:$H$1416,4,FALSE))</f>
        <v/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</row>
    <row r="55" spans="1:28">
      <c r="A55" s="25">
        <f t="shared" si="26"/>
        <v>50</v>
      </c>
      <c r="B55" s="32"/>
      <c r="C55" s="21"/>
      <c r="D55" s="9"/>
      <c r="E55" s="9"/>
      <c r="F55" s="9"/>
      <c r="G55" s="9"/>
      <c r="H55" s="9" t="str">
        <f>IF(G55="","",VLOOKUP(G55,业务功能_系统接口!$B$6:$H$1416,2,FALSE))</f>
        <v/>
      </c>
      <c r="I55" s="9" t="str">
        <f>IF(G55="","",VLOOKUP(G55,业务功能_系统接口!$B$6:$H$1416,3,FALSE))</f>
        <v/>
      </c>
      <c r="J55" s="9" t="str">
        <f>IF(G55="","",VLOOKUP(G55,业务功能_系统接口!$B$6:$H$1416,4,FALSE))</f>
        <v/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</row>
    <row r="56" spans="1:28">
      <c r="A56" s="25">
        <f t="shared" si="26"/>
        <v>51</v>
      </c>
      <c r="B56" s="32"/>
      <c r="C56" s="21"/>
      <c r="D56" s="9"/>
      <c r="E56" s="9"/>
      <c r="F56" s="9"/>
      <c r="G56" s="9"/>
      <c r="H56" s="9" t="str">
        <f>IF(G56="","",VLOOKUP(G56,业务功能_系统接口!$B$6:$H$1416,2,FALSE))</f>
        <v/>
      </c>
      <c r="I56" s="9" t="str">
        <f>IF(G56="","",VLOOKUP(G56,业务功能_系统接口!$B$6:$H$1416,3,FALSE))</f>
        <v/>
      </c>
      <c r="J56" s="9" t="str">
        <f>IF(G56="","",VLOOKUP(G56,业务功能_系统接口!$B$6:$H$1416,4,FALSE))</f>
        <v/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</row>
    <row r="57" spans="1:28">
      <c r="A57" s="25">
        <f t="shared" si="26"/>
        <v>52</v>
      </c>
      <c r="B57" s="32"/>
      <c r="C57" s="21"/>
      <c r="D57" s="9"/>
      <c r="E57" s="9"/>
      <c r="F57" s="9"/>
      <c r="G57" s="9"/>
      <c r="H57" s="9" t="str">
        <f>IF(G57="","",VLOOKUP(G57,业务功能_系统接口!$B$6:$H$1416,2,FALSE))</f>
        <v/>
      </c>
      <c r="I57" s="9" t="str">
        <f>IF(G57="","",VLOOKUP(G57,业务功能_系统接口!$B$6:$H$1416,3,FALSE))</f>
        <v/>
      </c>
      <c r="J57" s="9" t="str">
        <f>IF(G57="","",VLOOKUP(G57,业务功能_系统接口!$B$6:$H$1416,4,FALSE))</f>
        <v/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</row>
    <row r="58" spans="1:28">
      <c r="A58" s="25">
        <f t="shared" si="26"/>
        <v>53</v>
      </c>
      <c r="B58" s="32"/>
      <c r="C58" s="21"/>
      <c r="D58" s="9"/>
      <c r="E58" s="9"/>
      <c r="F58" s="9"/>
      <c r="G58" s="9"/>
      <c r="H58" s="9" t="str">
        <f>IF(G58="","",VLOOKUP(G58,业务功能_系统接口!$B$6:$H$1416,2,FALSE))</f>
        <v/>
      </c>
      <c r="I58" s="9" t="str">
        <f>IF(G58="","",VLOOKUP(G58,业务功能_系统接口!$B$6:$H$1416,3,FALSE))</f>
        <v/>
      </c>
      <c r="J58" s="9" t="str">
        <f>IF(G58="","",VLOOKUP(G58,业务功能_系统接口!$B$6:$H$1416,4,FALSE))</f>
        <v/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</row>
    <row r="59" spans="1:28">
      <c r="A59" s="25">
        <f t="shared" si="26"/>
        <v>54</v>
      </c>
      <c r="B59" s="32"/>
      <c r="C59" s="22"/>
      <c r="D59" s="9"/>
      <c r="E59" s="9"/>
      <c r="F59" s="9"/>
      <c r="G59" s="9"/>
      <c r="H59" s="9" t="str">
        <f>IF(G59="","",VLOOKUP(G59,业务功能_系统接口!$B$6:$H$1416,2,FALSE))</f>
        <v/>
      </c>
      <c r="I59" s="9" t="str">
        <f>IF(G59="","",VLOOKUP(G59,业务功能_系统接口!$B$6:$H$1416,3,FALSE))</f>
        <v/>
      </c>
      <c r="J59" s="9" t="str">
        <f>IF(G59="","",VLOOKUP(G59,业务功能_系统接口!$B$6:$H$1416,4,FALSE))</f>
        <v/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</row>
    <row r="60" spans="1:28">
      <c r="A60" s="25">
        <f t="shared" si="26"/>
        <v>55</v>
      </c>
      <c r="B60" s="32"/>
      <c r="C60" s="22"/>
      <c r="D60" s="9"/>
      <c r="E60" s="9"/>
      <c r="F60" s="9"/>
      <c r="G60" s="27"/>
      <c r="H60" s="9" t="str">
        <f>IF(G60="","",VLOOKUP(G60,业务功能_系统接口!$B$6:$H$1416,2,FALSE))</f>
        <v/>
      </c>
      <c r="I60" s="9" t="str">
        <f>IF(G60="","",VLOOKUP(G60,业务功能_系统接口!$B$6:$H$1416,3,FALSE))</f>
        <v/>
      </c>
      <c r="J60" s="9" t="str">
        <f>IF(G60="","",VLOOKUP(G60,业务功能_系统接口!$B$6:$H$1416,4,FALSE))</f>
        <v/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</row>
    <row r="61" spans="1:28">
      <c r="A61" s="25">
        <f t="shared" si="26"/>
        <v>56</v>
      </c>
      <c r="B61" s="32"/>
      <c r="C61" s="22"/>
      <c r="D61" s="9"/>
      <c r="E61" s="9"/>
      <c r="F61" s="9"/>
      <c r="G61" s="9"/>
      <c r="H61" s="9" t="str">
        <f>IF(G61="","",VLOOKUP(G61,业务功能_系统接口!$B$6:$H$1416,2,FALSE))</f>
        <v/>
      </c>
      <c r="I61" s="9" t="str">
        <f>IF(G61="","",VLOOKUP(G61,业务功能_系统接口!$B$6:$H$1416,3,FALSE))</f>
        <v/>
      </c>
      <c r="J61" s="9" t="str">
        <f>IF(G61="","",VLOOKUP(G61,业务功能_系统接口!$B$6:$H$1416,4,FALSE))</f>
        <v/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</row>
    <row r="62" spans="1:28">
      <c r="A62" s="25">
        <f t="shared" si="26"/>
        <v>57</v>
      </c>
      <c r="B62" s="32"/>
      <c r="C62" s="22"/>
      <c r="D62" s="9"/>
      <c r="E62" s="9"/>
      <c r="F62" s="9"/>
      <c r="G62" s="9"/>
      <c r="H62" s="9" t="str">
        <f>IF(G62="","",VLOOKUP(G62,业务功能_系统接口!$B$6:$H$1416,2,FALSE))</f>
        <v/>
      </c>
      <c r="I62" s="9" t="str">
        <f>IF(G62="","",VLOOKUP(G62,业务功能_系统接口!$B$6:$H$1416,3,FALSE))</f>
        <v/>
      </c>
      <c r="J62" s="9" t="str">
        <f>IF(G62="","",VLOOKUP(G62,业务功能_系统接口!$B$6:$H$1416,4,FALSE))</f>
        <v/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</row>
    <row r="63" spans="1:28">
      <c r="A63" s="25">
        <f t="shared" si="26"/>
        <v>58</v>
      </c>
      <c r="B63" s="32"/>
      <c r="C63" s="22"/>
      <c r="D63" s="9"/>
      <c r="E63" s="9"/>
      <c r="F63" s="9"/>
      <c r="G63" s="9"/>
      <c r="H63" s="9" t="str">
        <f>IF(G63="","",VLOOKUP(G63,业务功能_系统接口!$B$6:$H$1416,2,FALSE))</f>
        <v/>
      </c>
      <c r="I63" s="9" t="str">
        <f>IF(G63="","",VLOOKUP(G63,业务功能_系统接口!$B$6:$H$1416,3,FALSE))</f>
        <v/>
      </c>
      <c r="J63" s="9" t="str">
        <f>IF(G63="","",VLOOKUP(G63,业务功能_系统接口!$B$6:$H$1416,4,FALSE))</f>
        <v/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</row>
    <row r="64" spans="1:28">
      <c r="A64" s="25">
        <f t="shared" si="26"/>
        <v>59</v>
      </c>
      <c r="B64" s="32"/>
      <c r="C64" s="22"/>
      <c r="D64" s="9"/>
      <c r="E64" s="9"/>
      <c r="F64" s="9"/>
      <c r="G64" s="9"/>
      <c r="H64" s="9" t="str">
        <f>IF(G64="","",VLOOKUP(G64,业务功能_系统接口!$B$6:$H$1416,2,FALSE))</f>
        <v/>
      </c>
      <c r="I64" s="9" t="str">
        <f>IF(G64="","",VLOOKUP(G64,业务功能_系统接口!$B$6:$H$1416,3,FALSE))</f>
        <v/>
      </c>
      <c r="J64" s="9" t="str">
        <f>IF(G64="","",VLOOKUP(G64,业务功能_系统接口!$B$6:$H$1416,4,FALSE))</f>
        <v/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</row>
    <row r="65" spans="1:28">
      <c r="A65" s="25">
        <f t="shared" si="26"/>
        <v>60</v>
      </c>
      <c r="B65" s="32"/>
      <c r="C65" s="22"/>
      <c r="D65" s="9"/>
      <c r="E65" s="9"/>
      <c r="F65" s="9"/>
      <c r="G65" s="9"/>
      <c r="H65" s="9" t="str">
        <f>IF(G65="","",VLOOKUP(G65,业务功能_系统接口!$B$6:$H$1416,2,FALSE))</f>
        <v/>
      </c>
      <c r="I65" s="9" t="str">
        <f>IF(G65="","",VLOOKUP(G65,业务功能_系统接口!$B$6:$H$1416,3,FALSE))</f>
        <v/>
      </c>
      <c r="J65" s="9" t="str">
        <f>IF(G65="","",VLOOKUP(G65,业务功能_系统接口!$B$6:$H$1416,4,FALSE))</f>
        <v/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</row>
    <row r="66" spans="1:28">
      <c r="A66" s="25">
        <f t="shared" si="26"/>
        <v>61</v>
      </c>
      <c r="B66" s="32"/>
      <c r="C66" s="22"/>
      <c r="D66" s="9"/>
      <c r="E66" s="9"/>
      <c r="F66" s="9"/>
      <c r="G66" s="9"/>
      <c r="H66" s="9" t="str">
        <f>IF(G66="","",VLOOKUP(G66,业务功能_系统接口!$B$6:$H$1416,2,FALSE))</f>
        <v/>
      </c>
      <c r="I66" s="9" t="str">
        <f>IF(G66="","",VLOOKUP(G66,业务功能_系统接口!$B$6:$H$1416,3,FALSE))</f>
        <v/>
      </c>
      <c r="J66" s="9" t="str">
        <f>IF(G66="","",VLOOKUP(G66,业务功能_系统接口!$B$6:$H$1416,4,FALSE))</f>
        <v/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</row>
    <row r="67" spans="1:28">
      <c r="A67" s="25">
        <f t="shared" si="26"/>
        <v>62</v>
      </c>
      <c r="B67" s="32"/>
      <c r="C67" s="22"/>
      <c r="D67" s="9"/>
      <c r="E67" s="9"/>
      <c r="F67" s="9"/>
      <c r="G67" s="9"/>
      <c r="H67" s="9" t="str">
        <f>IF(G67="","",VLOOKUP(G67,业务功能_系统接口!$B$6:$H$1416,2,FALSE))</f>
        <v/>
      </c>
      <c r="I67" s="9" t="str">
        <f>IF(G67="","",VLOOKUP(G67,业务功能_系统接口!$B$6:$H$1416,3,FALSE))</f>
        <v/>
      </c>
      <c r="J67" s="9" t="str">
        <f>IF(G67="","",VLOOKUP(G67,业务功能_系统接口!$B$6:$H$1416,4,FALSE))</f>
        <v/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</row>
    <row r="68" spans="1:28">
      <c r="A68" s="25">
        <f t="shared" si="26"/>
        <v>63</v>
      </c>
      <c r="B68" s="32"/>
      <c r="C68" s="22"/>
      <c r="D68" s="9"/>
      <c r="E68" s="9"/>
      <c r="F68" s="9"/>
      <c r="G68" s="9"/>
      <c r="H68" s="9" t="str">
        <f>IF(G68="","",VLOOKUP(G68,业务功能_系统接口!$B$6:$H$1416,2,FALSE))</f>
        <v/>
      </c>
      <c r="I68" s="9" t="str">
        <f>IF(G68="","",VLOOKUP(G68,业务功能_系统接口!$B$6:$H$1416,3,FALSE))</f>
        <v/>
      </c>
      <c r="J68" s="9" t="str">
        <f>IF(G68="","",VLOOKUP(G68,业务功能_系统接口!$B$6:$H$1416,4,FALSE))</f>
        <v/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</row>
    <row r="69" spans="1:28">
      <c r="A69" s="25">
        <f t="shared" si="26"/>
        <v>64</v>
      </c>
      <c r="B69" s="32"/>
      <c r="C69" s="22"/>
      <c r="D69" s="9"/>
      <c r="E69" s="9"/>
      <c r="F69" s="9"/>
      <c r="G69" s="9"/>
      <c r="H69" s="9" t="str">
        <f>IF(G69="","",VLOOKUP(G69,业务功能_系统接口!$B$6:$H$1416,2,FALSE))</f>
        <v/>
      </c>
      <c r="I69" s="9" t="str">
        <f>IF(G69="","",VLOOKUP(G69,业务功能_系统接口!$B$6:$H$1416,3,FALSE))</f>
        <v/>
      </c>
      <c r="J69" s="9" t="str">
        <f>IF(G69="","",VLOOKUP(G69,业务功能_系统接口!$B$6:$H$1416,4,FALSE))</f>
        <v/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</row>
    <row r="70" spans="1:28">
      <c r="A70" s="25">
        <f t="shared" si="26"/>
        <v>65</v>
      </c>
      <c r="B70" s="32"/>
      <c r="C70" s="22"/>
      <c r="D70" s="9"/>
      <c r="E70" s="9"/>
      <c r="F70" s="9"/>
      <c r="G70" s="9"/>
      <c r="H70" s="9" t="str">
        <f>IF(G70="","",VLOOKUP(G70,业务功能_系统接口!$B$6:$H$1416,2,FALSE))</f>
        <v/>
      </c>
      <c r="I70" s="9" t="str">
        <f>IF(G70="","",VLOOKUP(G70,业务功能_系统接口!$B$6:$H$1416,3,FALSE))</f>
        <v/>
      </c>
      <c r="J70" s="9" t="str">
        <f>IF(G70="","",VLOOKUP(G70,业务功能_系统接口!$B$6:$H$1416,4,FALSE))</f>
        <v/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</row>
    <row r="71" spans="1:28">
      <c r="A71" s="25">
        <f t="shared" ref="A71:A127" si="27">A70+1</f>
        <v>66</v>
      </c>
      <c r="B71" s="32"/>
      <c r="C71" s="22"/>
      <c r="D71" s="9"/>
      <c r="E71" s="9"/>
      <c r="F71" s="9"/>
      <c r="G71" s="9"/>
      <c r="H71" s="9" t="str">
        <f>IF(G71="","",VLOOKUP(G71,业务功能_系统接口!$B$6:$H$1416,2,FALSE))</f>
        <v/>
      </c>
      <c r="I71" s="9" t="str">
        <f>IF(G71="","",VLOOKUP(G71,业务功能_系统接口!$B$6:$H$1416,3,FALSE))</f>
        <v/>
      </c>
      <c r="J71" s="9" t="str">
        <f>IF(G71="","",VLOOKUP(G71,业务功能_系统接口!$B$6:$H$1416,4,FALSE))</f>
        <v/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</row>
    <row r="72" spans="1:28">
      <c r="A72" s="25">
        <f t="shared" si="27"/>
        <v>67</v>
      </c>
      <c r="B72" s="32"/>
      <c r="C72" s="22"/>
      <c r="D72" s="9"/>
      <c r="E72" s="9"/>
      <c r="F72" s="9"/>
      <c r="G72" s="9"/>
      <c r="H72" s="9" t="str">
        <f>IF(G72="","",VLOOKUP(G72,业务功能_系统接口!$B$6:$H$1416,2,FALSE))</f>
        <v/>
      </c>
      <c r="I72" s="9" t="str">
        <f>IF(G72="","",VLOOKUP(G72,业务功能_系统接口!$B$6:$H$1416,3,FALSE))</f>
        <v/>
      </c>
      <c r="J72" s="9" t="str">
        <f>IF(G72="","",VLOOKUP(G72,业务功能_系统接口!$B$6:$H$1416,4,FALSE))</f>
        <v/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</row>
    <row r="73" spans="1:28">
      <c r="A73" s="25">
        <f t="shared" si="27"/>
        <v>68</v>
      </c>
      <c r="B73" s="32"/>
      <c r="C73" s="22"/>
      <c r="D73" s="9"/>
      <c r="E73" s="9"/>
      <c r="F73" s="9"/>
      <c r="G73" s="9"/>
      <c r="H73" s="9" t="str">
        <f>IF(G73="","",VLOOKUP(G73,业务功能_系统接口!$B$6:$H$1416,2,FALSE))</f>
        <v/>
      </c>
      <c r="I73" s="9" t="str">
        <f>IF(G73="","",VLOOKUP(G73,业务功能_系统接口!$B$6:$H$1416,3,FALSE))</f>
        <v/>
      </c>
      <c r="J73" s="9" t="str">
        <f>IF(G73="","",VLOOKUP(G73,业务功能_系统接口!$B$6:$H$1416,4,FALSE))</f>
        <v/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</row>
    <row r="74" spans="1:28">
      <c r="A74" s="25">
        <f t="shared" si="27"/>
        <v>69</v>
      </c>
      <c r="B74" s="32"/>
      <c r="C74" s="22"/>
      <c r="D74" s="9"/>
      <c r="E74" s="9"/>
      <c r="F74" s="9"/>
      <c r="G74" s="9"/>
      <c r="H74" s="9" t="str">
        <f>IF(G74="","",VLOOKUP(G74,业务功能_系统接口!$B$6:$H$1416,2,FALSE))</f>
        <v/>
      </c>
      <c r="I74" s="9" t="str">
        <f>IF(G74="","",VLOOKUP(G74,业务功能_系统接口!$B$6:$H$1416,3,FALSE))</f>
        <v/>
      </c>
      <c r="J74" s="9" t="str">
        <f>IF(G74="","",VLOOKUP(G74,业务功能_系统接口!$B$6:$H$1416,4,FALSE))</f>
        <v/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</row>
    <row r="75" spans="1:28">
      <c r="A75" s="25">
        <f t="shared" si="27"/>
        <v>70</v>
      </c>
      <c r="B75" s="32"/>
      <c r="C75" s="22"/>
      <c r="D75" s="9"/>
      <c r="E75" s="9"/>
      <c r="F75" s="9"/>
      <c r="G75" s="9"/>
      <c r="H75" s="9" t="str">
        <f>IF(G75="","",VLOOKUP(G75,业务功能_系统接口!$B$6:$H$1416,2,FALSE))</f>
        <v/>
      </c>
      <c r="I75" s="9" t="str">
        <f>IF(G75="","",VLOOKUP(G75,业务功能_系统接口!$B$6:$H$1416,3,FALSE))</f>
        <v/>
      </c>
      <c r="J75" s="9" t="str">
        <f>IF(G75="","",VLOOKUP(G75,业务功能_系统接口!$B$6:$H$1416,4,FALSE))</f>
        <v/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</row>
    <row r="76" spans="1:28">
      <c r="A76" s="25">
        <f t="shared" si="27"/>
        <v>71</v>
      </c>
      <c r="B76" s="32"/>
      <c r="C76" s="22"/>
      <c r="D76" s="9"/>
      <c r="E76" s="9"/>
      <c r="F76" s="9"/>
      <c r="G76" s="9"/>
      <c r="H76" s="9" t="str">
        <f>IF(G76="","",VLOOKUP(G76,业务功能_系统接口!$B$6:$H$1416,2,FALSE))</f>
        <v/>
      </c>
      <c r="I76" s="9" t="str">
        <f>IF(G76="","",VLOOKUP(G76,业务功能_系统接口!$B$6:$H$1416,3,FALSE))</f>
        <v/>
      </c>
      <c r="J76" s="9" t="str">
        <f>IF(G76="","",VLOOKUP(G76,业务功能_系统接口!$B$6:$H$1416,4,FALSE))</f>
        <v/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</row>
    <row r="77" spans="1:28">
      <c r="A77" s="25">
        <f t="shared" si="27"/>
        <v>72</v>
      </c>
      <c r="B77" s="32"/>
      <c r="C77" s="22"/>
      <c r="D77" s="9"/>
      <c r="E77" s="9"/>
      <c r="F77" s="9"/>
      <c r="G77" s="9"/>
      <c r="H77" s="9" t="str">
        <f>IF(G77="","",VLOOKUP(G77,业务功能_系统接口!$B$6:$H$1416,2,FALSE))</f>
        <v/>
      </c>
      <c r="I77" s="9" t="str">
        <f>IF(G77="","",VLOOKUP(G77,业务功能_系统接口!$B$6:$H$1416,3,FALSE))</f>
        <v/>
      </c>
      <c r="J77" s="9" t="str">
        <f>IF(G77="","",VLOOKUP(G77,业务功能_系统接口!$B$6:$H$1416,4,FALSE))</f>
        <v/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</row>
    <row r="78" spans="1:28">
      <c r="A78" s="25">
        <f t="shared" si="27"/>
        <v>73</v>
      </c>
      <c r="B78" s="32"/>
      <c r="C78" s="22"/>
      <c r="D78" s="9"/>
      <c r="E78" s="9"/>
      <c r="F78" s="9"/>
      <c r="G78" s="9"/>
      <c r="H78" s="9" t="str">
        <f>IF(G78="","",VLOOKUP(G78,业务功能_系统接口!$B$6:$H$1416,2,FALSE))</f>
        <v/>
      </c>
      <c r="I78" s="9" t="str">
        <f>IF(G78="","",VLOOKUP(G78,业务功能_系统接口!$B$6:$H$1416,3,FALSE))</f>
        <v/>
      </c>
      <c r="J78" s="9" t="str">
        <f>IF(G78="","",VLOOKUP(G78,业务功能_系统接口!$B$6:$H$1416,4,FALSE))</f>
        <v/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</row>
    <row r="79" spans="1:28">
      <c r="A79" s="25">
        <f t="shared" si="27"/>
        <v>74</v>
      </c>
      <c r="B79" s="32"/>
      <c r="C79" s="22"/>
      <c r="D79" s="9"/>
      <c r="E79" s="9"/>
      <c r="F79" s="9"/>
      <c r="G79" s="9"/>
      <c r="H79" s="9" t="str">
        <f>IF(G79="","",VLOOKUP(G79,业务功能_系统接口!$B$6:$H$1416,2,FALSE))</f>
        <v/>
      </c>
      <c r="I79" s="9" t="str">
        <f>IF(G79="","",VLOOKUP(G79,业务功能_系统接口!$B$6:$H$1416,3,FALSE))</f>
        <v/>
      </c>
      <c r="J79" s="9" t="str">
        <f>IF(G79="","",VLOOKUP(G79,业务功能_系统接口!$B$6:$H$1416,4,FALSE))</f>
        <v/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</row>
    <row r="80" spans="1:28">
      <c r="A80" s="25">
        <f t="shared" si="27"/>
        <v>75</v>
      </c>
      <c r="B80" s="32"/>
      <c r="C80" s="22"/>
      <c r="D80" s="9"/>
      <c r="E80" s="9"/>
      <c r="F80" s="9"/>
      <c r="G80" s="9"/>
      <c r="H80" s="9" t="str">
        <f>IF(G80="","",VLOOKUP(G80,业务功能_系统接口!$B$6:$H$1416,2,FALSE))</f>
        <v/>
      </c>
      <c r="I80" s="9" t="str">
        <f>IF(G80="","",VLOOKUP(G80,业务功能_系统接口!$B$6:$H$1416,3,FALSE))</f>
        <v/>
      </c>
      <c r="J80" s="9" t="str">
        <f>IF(G80="","",VLOOKUP(G80,业务功能_系统接口!$B$6:$H$1416,4,FALSE))</f>
        <v/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</row>
    <row r="81" spans="1:28">
      <c r="A81" s="25">
        <f t="shared" si="27"/>
        <v>76</v>
      </c>
      <c r="B81" s="32"/>
      <c r="C81" s="22"/>
      <c r="D81" s="9"/>
      <c r="E81" s="9"/>
      <c r="F81" s="9"/>
      <c r="G81" s="9"/>
      <c r="H81" s="9" t="str">
        <f>IF(G81="","",VLOOKUP(G81,业务功能_系统接口!$B$6:$H$1416,2,FALSE))</f>
        <v/>
      </c>
      <c r="I81" s="9" t="str">
        <f>IF(G81="","",VLOOKUP(G81,业务功能_系统接口!$B$6:$H$1416,3,FALSE))</f>
        <v/>
      </c>
      <c r="J81" s="9" t="str">
        <f>IF(G81="","",VLOOKUP(G81,业务功能_系统接口!$B$6:$H$1416,4,FALSE))</f>
        <v/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</row>
    <row r="82" spans="1:28">
      <c r="A82" s="25">
        <f t="shared" si="27"/>
        <v>77</v>
      </c>
      <c r="B82" s="32"/>
      <c r="C82" s="22"/>
      <c r="D82" s="9"/>
      <c r="E82" s="9"/>
      <c r="F82" s="9"/>
      <c r="G82" s="9"/>
      <c r="H82" s="9" t="str">
        <f>IF(G82="","",VLOOKUP(G82,业务功能_系统接口!$B$6:$H$1416,2,FALSE))</f>
        <v/>
      </c>
      <c r="I82" s="9" t="str">
        <f>IF(G82="","",VLOOKUP(G82,业务功能_系统接口!$B$6:$H$1416,3,FALSE))</f>
        <v/>
      </c>
      <c r="J82" s="9" t="str">
        <f>IF(G82="","",VLOOKUP(G82,业务功能_系统接口!$B$6:$H$1416,4,FALSE))</f>
        <v/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</row>
    <row r="83" spans="1:28">
      <c r="A83" s="25">
        <f t="shared" si="27"/>
        <v>78</v>
      </c>
      <c r="B83" s="32"/>
      <c r="C83" s="22"/>
      <c r="D83" s="9"/>
      <c r="E83" s="9"/>
      <c r="F83" s="9"/>
      <c r="G83" s="9"/>
      <c r="H83" s="9" t="str">
        <f>IF(G83="","",VLOOKUP(G83,业务功能_系统接口!$B$6:$H$1416,2,FALSE))</f>
        <v/>
      </c>
      <c r="I83" s="9" t="str">
        <f>IF(G83="","",VLOOKUP(G83,业务功能_系统接口!$B$6:$H$1416,3,FALSE))</f>
        <v/>
      </c>
      <c r="J83" s="9" t="str">
        <f>IF(G83="","",VLOOKUP(G83,业务功能_系统接口!$B$6:$H$1416,4,FALSE))</f>
        <v/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</row>
    <row r="84" spans="1:28">
      <c r="A84" s="25">
        <f t="shared" si="27"/>
        <v>79</v>
      </c>
      <c r="B84" s="32"/>
      <c r="C84" s="22"/>
      <c r="D84" s="9"/>
      <c r="E84" s="9"/>
      <c r="F84" s="9"/>
      <c r="G84" s="9"/>
      <c r="H84" s="9" t="str">
        <f>IF(G84="","",VLOOKUP(G84,业务功能_系统接口!$B$6:$H$1416,2,FALSE))</f>
        <v/>
      </c>
      <c r="I84" s="9" t="str">
        <f>IF(G84="","",VLOOKUP(G84,业务功能_系统接口!$B$6:$H$1416,3,FALSE))</f>
        <v/>
      </c>
      <c r="J84" s="9" t="str">
        <f>IF(G84="","",VLOOKUP(G84,业务功能_系统接口!$B$6:$H$1416,4,FALSE))</f>
        <v/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</row>
    <row r="85" spans="1:28">
      <c r="A85" s="25">
        <f t="shared" si="27"/>
        <v>80</v>
      </c>
      <c r="B85" s="32"/>
      <c r="C85" s="22"/>
      <c r="D85" s="9"/>
      <c r="E85" s="9"/>
      <c r="F85" s="9"/>
      <c r="G85" s="9"/>
      <c r="H85" s="9" t="str">
        <f>IF(G85="","",VLOOKUP(G85,业务功能_系统接口!$B$6:$H$1416,2,FALSE))</f>
        <v/>
      </c>
      <c r="I85" s="9" t="str">
        <f>IF(G85="","",VLOOKUP(G85,业务功能_系统接口!$B$6:$H$1416,3,FALSE))</f>
        <v/>
      </c>
      <c r="J85" s="9" t="str">
        <f>IF(G85="","",VLOOKUP(G85,业务功能_系统接口!$B$6:$H$1416,4,FALSE))</f>
        <v/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</row>
    <row r="86" spans="1:28">
      <c r="A86" s="25">
        <f t="shared" si="27"/>
        <v>81</v>
      </c>
      <c r="B86" s="32"/>
      <c r="C86" s="22"/>
      <c r="D86" s="9"/>
      <c r="E86" s="9"/>
      <c r="F86" s="9"/>
      <c r="G86" s="9"/>
      <c r="H86" s="9" t="str">
        <f>IF(G86="","",VLOOKUP(G86,业务功能_系统接口!$B$6:$H$1416,2,FALSE))</f>
        <v/>
      </c>
      <c r="I86" s="9" t="str">
        <f>IF(G86="","",VLOOKUP(G86,业务功能_系统接口!$B$6:$H$1416,3,FALSE))</f>
        <v/>
      </c>
      <c r="J86" s="9" t="str">
        <f>IF(G86="","",VLOOKUP(G86,业务功能_系统接口!$B$6:$H$1416,4,FALSE))</f>
        <v/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</row>
    <row r="87" spans="1:28" s="30" customFormat="1">
      <c r="A87" s="25">
        <f t="shared" si="27"/>
        <v>82</v>
      </c>
      <c r="B87" s="33"/>
      <c r="C87" s="29"/>
      <c r="D87" s="27"/>
      <c r="E87" s="27"/>
      <c r="F87" s="27"/>
      <c r="G87" s="27"/>
      <c r="H87" s="27" t="str">
        <f>IF(G87="","",VLOOKUP(G87,业务功能_系统接口!$B$6:$H$1416,2,FALSE))</f>
        <v/>
      </c>
      <c r="I87" s="27" t="str">
        <f>IF(G87="","",VLOOKUP(G87,业务功能_系统接口!$B$6:$H$1416,3,FALSE))</f>
        <v/>
      </c>
      <c r="J87" s="27" t="str">
        <f>IF(G87="","",VLOOKUP(G87,业务功能_系统接口!$B$6:$H$1416,4,FALSE))</f>
        <v/>
      </c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</row>
    <row r="88" spans="1:28">
      <c r="A88" s="25">
        <f t="shared" si="27"/>
        <v>83</v>
      </c>
      <c r="B88" s="32"/>
      <c r="C88" s="22"/>
      <c r="D88" s="9"/>
      <c r="E88" s="9"/>
      <c r="F88" s="9"/>
      <c r="G88" s="9"/>
      <c r="H88" s="9" t="str">
        <f>IF(G88="","",VLOOKUP(G88,业务功能_系统接口!$B$6:$H$1416,2,FALSE))</f>
        <v/>
      </c>
      <c r="I88" s="9" t="str">
        <f>IF(G88="","",VLOOKUP(G88,业务功能_系统接口!$B$6:$H$1416,3,FALSE))</f>
        <v/>
      </c>
      <c r="J88" s="9" t="str">
        <f>IF(G88="","",VLOOKUP(G88,业务功能_系统接口!$B$6:$H$1416,4,FALSE))</f>
        <v/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</row>
    <row r="89" spans="1:28">
      <c r="A89" s="25">
        <f t="shared" si="27"/>
        <v>84</v>
      </c>
      <c r="B89" s="32"/>
      <c r="C89" s="22"/>
      <c r="D89" s="9"/>
      <c r="E89" s="9"/>
      <c r="F89" s="9"/>
      <c r="G89" s="9"/>
      <c r="H89" s="9" t="str">
        <f>IF(G89="","",VLOOKUP(G89,业务功能_系统接口!$B$6:$H$1416,2,FALSE))</f>
        <v/>
      </c>
      <c r="I89" s="9" t="str">
        <f>IF(G89="","",VLOOKUP(G89,业务功能_系统接口!$B$6:$H$1416,3,FALSE))</f>
        <v/>
      </c>
      <c r="J89" s="9" t="str">
        <f>IF(G89="","",VLOOKUP(G89,业务功能_系统接口!$B$6:$H$1416,4,FALSE))</f>
        <v/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</row>
    <row r="90" spans="1:28">
      <c r="A90" s="25">
        <f t="shared" si="27"/>
        <v>85</v>
      </c>
      <c r="B90" s="32"/>
      <c r="C90" s="22"/>
      <c r="D90" s="9"/>
      <c r="E90" s="9"/>
      <c r="F90" s="9"/>
      <c r="G90" s="9"/>
      <c r="H90" s="9" t="str">
        <f>IF(G90="","",VLOOKUP(G90,业务功能_系统接口!$B$6:$H$1416,2,FALSE))</f>
        <v/>
      </c>
      <c r="I90" s="9" t="str">
        <f>IF(G90="","",VLOOKUP(G90,业务功能_系统接口!$B$6:$H$1416,3,FALSE))</f>
        <v/>
      </c>
      <c r="J90" s="9" t="str">
        <f>IF(G90="","",VLOOKUP(G90,业务功能_系统接口!$B$6:$H$1416,4,FALSE))</f>
        <v/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</row>
    <row r="91" spans="1:28">
      <c r="A91" s="25">
        <f t="shared" si="27"/>
        <v>86</v>
      </c>
      <c r="B91" s="32"/>
      <c r="C91" s="22"/>
      <c r="D91" s="9"/>
      <c r="E91" s="9"/>
      <c r="F91" s="9"/>
      <c r="G91" s="9"/>
      <c r="H91" s="9" t="str">
        <f>IF(G91="","",VLOOKUP(G91,业务功能_系统接口!$B$6:$H$1416,2,FALSE))</f>
        <v/>
      </c>
      <c r="I91" s="9" t="str">
        <f>IF(G91="","",VLOOKUP(G91,业务功能_系统接口!$B$6:$H$1416,3,FALSE))</f>
        <v/>
      </c>
      <c r="J91" s="9" t="str">
        <f>IF(G91="","",VLOOKUP(G91,业务功能_系统接口!$B$6:$H$1416,4,FALSE))</f>
        <v/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</row>
    <row r="92" spans="1:28">
      <c r="A92" s="25">
        <f t="shared" si="27"/>
        <v>87</v>
      </c>
      <c r="B92" s="32"/>
      <c r="C92" s="22"/>
      <c r="D92" s="9"/>
      <c r="E92" s="9"/>
      <c r="F92" s="9"/>
      <c r="G92" s="9"/>
      <c r="H92" s="9" t="str">
        <f>IF(G92="","",VLOOKUP(G92,业务功能_系统接口!$B$6:$H$1416,2,FALSE))</f>
        <v/>
      </c>
      <c r="I92" s="9" t="str">
        <f>IF(G92="","",VLOOKUP(G92,业务功能_系统接口!$B$6:$H$1416,3,FALSE))</f>
        <v/>
      </c>
      <c r="J92" s="9" t="str">
        <f>IF(G92="","",VLOOKUP(G92,业务功能_系统接口!$B$6:$H$1416,4,FALSE))</f>
        <v/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</row>
    <row r="93" spans="1:28">
      <c r="A93" s="25">
        <f t="shared" si="27"/>
        <v>88</v>
      </c>
      <c r="B93" s="32"/>
      <c r="C93" s="22"/>
      <c r="D93" s="9"/>
      <c r="E93" s="9"/>
      <c r="F93" s="9"/>
      <c r="G93" s="9"/>
      <c r="H93" s="9" t="str">
        <f>IF(G93="","",VLOOKUP(G93,业务功能_系统接口!$B$6:$H$1416,2,FALSE))</f>
        <v/>
      </c>
      <c r="I93" s="9" t="str">
        <f>IF(G93="","",VLOOKUP(G93,业务功能_系统接口!$B$6:$H$1416,3,FALSE))</f>
        <v/>
      </c>
      <c r="J93" s="9" t="str">
        <f>IF(G93="","",VLOOKUP(G93,业务功能_系统接口!$B$6:$H$1416,4,FALSE))</f>
        <v/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</row>
    <row r="94" spans="1:28">
      <c r="A94" s="25">
        <f t="shared" si="27"/>
        <v>89</v>
      </c>
      <c r="B94" s="32"/>
      <c r="C94" s="22"/>
      <c r="D94" s="9"/>
      <c r="E94" s="9"/>
      <c r="F94" s="9"/>
      <c r="G94" s="9"/>
      <c r="H94" s="9" t="str">
        <f>IF(G94="","",VLOOKUP(G94,业务功能_系统接口!$B$6:$H$1416,2,FALSE))</f>
        <v/>
      </c>
      <c r="I94" s="9" t="str">
        <f>IF(G94="","",VLOOKUP(G94,业务功能_系统接口!$B$6:$H$1416,3,FALSE))</f>
        <v/>
      </c>
      <c r="J94" s="9" t="str">
        <f>IF(G94="","",VLOOKUP(G94,业务功能_系统接口!$B$6:$H$1416,4,FALSE))</f>
        <v/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</row>
    <row r="95" spans="1:28">
      <c r="A95" s="25">
        <f t="shared" si="27"/>
        <v>90</v>
      </c>
      <c r="B95" s="32"/>
      <c r="C95" s="22"/>
      <c r="D95" s="9"/>
      <c r="E95" s="9"/>
      <c r="F95" s="9"/>
      <c r="G95" s="9"/>
      <c r="H95" s="9" t="str">
        <f>IF(G95="","",VLOOKUP(G95,业务功能_系统接口!$B$6:$H$1416,2,FALSE))</f>
        <v/>
      </c>
      <c r="I95" s="9" t="str">
        <f>IF(G95="","",VLOOKUP(G95,业务功能_系统接口!$B$6:$H$1416,3,FALSE))</f>
        <v/>
      </c>
      <c r="J95" s="9" t="str">
        <f>IF(G95="","",VLOOKUP(G95,业务功能_系统接口!$B$6:$H$1416,4,FALSE))</f>
        <v/>
      </c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</row>
    <row r="96" spans="1:28">
      <c r="A96" s="25">
        <f t="shared" si="27"/>
        <v>91</v>
      </c>
      <c r="B96" s="32"/>
      <c r="C96" s="22"/>
      <c r="D96" s="9"/>
      <c r="E96" s="9"/>
      <c r="F96" s="9"/>
      <c r="G96" s="9"/>
      <c r="H96" s="9" t="str">
        <f>IF(G96="","",VLOOKUP(G96,业务功能_系统接口!$B$6:$H$1416,2,FALSE))</f>
        <v/>
      </c>
      <c r="I96" s="9" t="str">
        <f>IF(G96="","",VLOOKUP(G96,业务功能_系统接口!$B$6:$H$1416,3,FALSE))</f>
        <v/>
      </c>
      <c r="J96" s="9" t="str">
        <f>IF(G96="","",VLOOKUP(G96,业务功能_系统接口!$B$6:$H$1416,4,FALSE))</f>
        <v/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</row>
    <row r="97" spans="1:28">
      <c r="A97" s="25">
        <f t="shared" si="27"/>
        <v>92</v>
      </c>
      <c r="B97" s="32"/>
      <c r="C97" s="22"/>
      <c r="D97" s="9"/>
      <c r="E97" s="9"/>
      <c r="F97" s="9"/>
      <c r="G97" s="9"/>
      <c r="H97" s="9" t="str">
        <f>IF(G97="","",VLOOKUP(G97,业务功能_系统接口!$B$6:$H$1416,2,FALSE))</f>
        <v/>
      </c>
      <c r="I97" s="9" t="str">
        <f>IF(G97="","",VLOOKUP(G97,业务功能_系统接口!$B$6:$H$1416,3,FALSE))</f>
        <v/>
      </c>
      <c r="J97" s="9" t="str">
        <f>IF(G97="","",VLOOKUP(G97,业务功能_系统接口!$B$6:$H$1416,4,FALSE))</f>
        <v/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</row>
    <row r="98" spans="1:28">
      <c r="A98" s="25">
        <f t="shared" si="27"/>
        <v>93</v>
      </c>
      <c r="B98" s="32"/>
      <c r="C98" s="22"/>
      <c r="D98" s="9"/>
      <c r="E98" s="9"/>
      <c r="F98" s="9"/>
      <c r="G98" s="9"/>
      <c r="H98" s="9" t="str">
        <f>IF(G98="","",VLOOKUP(G98,业务功能_系统接口!$B$6:$H$1416,2,FALSE))</f>
        <v/>
      </c>
      <c r="I98" s="9" t="str">
        <f>IF(G98="","",VLOOKUP(G98,业务功能_系统接口!$B$6:$H$1416,3,FALSE))</f>
        <v/>
      </c>
      <c r="J98" s="9" t="str">
        <f>IF(G98="","",VLOOKUP(G98,业务功能_系统接口!$B$6:$H$1416,4,FALSE))</f>
        <v/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</row>
    <row r="99" spans="1:28">
      <c r="A99" s="25">
        <f t="shared" si="27"/>
        <v>94</v>
      </c>
      <c r="B99" s="32"/>
      <c r="C99" s="22"/>
      <c r="D99" s="9"/>
      <c r="E99" s="9"/>
      <c r="F99" s="9"/>
      <c r="G99" s="9"/>
      <c r="H99" s="9" t="str">
        <f>IF(G99="","",VLOOKUP(G99,业务功能_系统接口!$B$6:$H$1416,2,FALSE))</f>
        <v/>
      </c>
      <c r="I99" s="9" t="str">
        <f>IF(G99="","",VLOOKUP(G99,业务功能_系统接口!$B$6:$H$1416,3,FALSE))</f>
        <v/>
      </c>
      <c r="J99" s="9" t="str">
        <f>IF(G99="","",VLOOKUP(G99,业务功能_系统接口!$B$6:$H$1416,4,FALSE))</f>
        <v/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</row>
    <row r="100" spans="1:28">
      <c r="A100" s="25">
        <f t="shared" si="27"/>
        <v>95</v>
      </c>
      <c r="B100" s="32"/>
      <c r="C100" s="22"/>
      <c r="D100" s="9"/>
      <c r="E100" s="9"/>
      <c r="F100" s="9"/>
      <c r="G100" s="9"/>
      <c r="H100" s="9" t="str">
        <f>IF(G100="","",VLOOKUP(G100,业务功能_系统接口!$B$6:$H$1416,2,FALSE))</f>
        <v/>
      </c>
      <c r="I100" s="9" t="str">
        <f>IF(G100="","",VLOOKUP(G100,业务功能_系统接口!$B$6:$H$1416,3,FALSE))</f>
        <v/>
      </c>
      <c r="J100" s="9" t="str">
        <f>IF(G100="","",VLOOKUP(G100,业务功能_系统接口!$B$6:$H$1416,4,FALSE))</f>
        <v/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</row>
    <row r="101" spans="1:28">
      <c r="A101" s="25">
        <f t="shared" si="27"/>
        <v>96</v>
      </c>
      <c r="B101" s="32"/>
      <c r="C101" s="22"/>
      <c r="D101" s="9"/>
      <c r="E101" s="9"/>
      <c r="F101" s="9"/>
      <c r="G101" s="9"/>
      <c r="H101" s="9" t="str">
        <f>IF(G101="","",VLOOKUP(G101,业务功能_系统接口!$B$6:$H$1416,2,FALSE))</f>
        <v/>
      </c>
      <c r="I101" s="9" t="str">
        <f>IF(G101="","",VLOOKUP(G101,业务功能_系统接口!$B$6:$H$1416,3,FALSE))</f>
        <v/>
      </c>
      <c r="J101" s="9" t="str">
        <f>IF(G101="","",VLOOKUP(G101,业务功能_系统接口!$B$6:$H$1416,4,FALSE))</f>
        <v/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</row>
    <row r="102" spans="1:28">
      <c r="A102" s="25">
        <f t="shared" si="27"/>
        <v>97</v>
      </c>
      <c r="B102" s="32"/>
      <c r="C102" s="22"/>
      <c r="D102" s="9"/>
      <c r="E102" s="9"/>
      <c r="F102" s="9"/>
      <c r="G102" s="9"/>
      <c r="H102" s="9" t="str">
        <f>IF(G102="","",VLOOKUP(G102,业务功能_系统接口!$B$6:$H$1416,2,FALSE))</f>
        <v/>
      </c>
      <c r="I102" s="9" t="str">
        <f>IF(G102="","",VLOOKUP(G102,业务功能_系统接口!$B$6:$H$1416,3,FALSE))</f>
        <v/>
      </c>
      <c r="J102" s="9" t="str">
        <f>IF(G102="","",VLOOKUP(G102,业务功能_系统接口!$B$6:$H$1416,4,FALSE))</f>
        <v/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</row>
    <row r="103" spans="1:28">
      <c r="A103" s="25">
        <f t="shared" si="27"/>
        <v>98</v>
      </c>
      <c r="B103" s="32"/>
      <c r="C103" s="22"/>
      <c r="D103" s="9"/>
      <c r="E103" s="9"/>
      <c r="F103" s="9"/>
      <c r="G103" s="9"/>
      <c r="H103" s="9" t="str">
        <f>IF(G103="","",VLOOKUP(G103,业务功能_系统接口!$B$6:$H$1416,2,FALSE))</f>
        <v/>
      </c>
      <c r="I103" s="9" t="str">
        <f>IF(G103="","",VLOOKUP(G103,业务功能_系统接口!$B$6:$H$1416,3,FALSE))</f>
        <v/>
      </c>
      <c r="J103" s="9" t="str">
        <f>IF(G103="","",VLOOKUP(G103,业务功能_系统接口!$B$6:$H$1416,4,FALSE))</f>
        <v/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</row>
    <row r="104" spans="1:28">
      <c r="A104" s="25">
        <f t="shared" si="27"/>
        <v>99</v>
      </c>
      <c r="B104" s="32"/>
      <c r="C104" s="22"/>
      <c r="D104" s="9"/>
      <c r="E104" s="9"/>
      <c r="F104" s="9"/>
      <c r="G104" s="9"/>
      <c r="H104" s="9" t="str">
        <f>IF(G104="","",VLOOKUP(G104,业务功能_系统接口!$B$6:$H$1416,2,FALSE))</f>
        <v/>
      </c>
      <c r="I104" s="9" t="str">
        <f>IF(G104="","",VLOOKUP(G104,业务功能_系统接口!$B$6:$H$1416,3,FALSE))</f>
        <v/>
      </c>
      <c r="J104" s="9" t="str">
        <f>IF(G104="","",VLOOKUP(G104,业务功能_系统接口!$B$6:$H$1416,4,FALSE))</f>
        <v/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</row>
    <row r="105" spans="1:28">
      <c r="A105" s="25">
        <f t="shared" si="27"/>
        <v>100</v>
      </c>
      <c r="B105" s="32"/>
      <c r="C105" s="22"/>
      <c r="D105" s="9"/>
      <c r="E105" s="9"/>
      <c r="F105" s="9"/>
      <c r="G105" s="9"/>
      <c r="H105" s="9" t="str">
        <f>IF(G105="","",VLOOKUP(G105,业务功能_系统接口!$B$6:$H$1416,2,FALSE))</f>
        <v/>
      </c>
      <c r="I105" s="9" t="str">
        <f>IF(G105="","",VLOOKUP(G105,业务功能_系统接口!$B$6:$H$1416,3,FALSE))</f>
        <v/>
      </c>
      <c r="J105" s="9" t="str">
        <f>IF(G105="","",VLOOKUP(G105,业务功能_系统接口!$B$6:$H$1416,4,FALSE))</f>
        <v/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>
      <c r="A106" s="25">
        <f t="shared" si="27"/>
        <v>101</v>
      </c>
      <c r="B106" s="32"/>
      <c r="C106" s="22"/>
      <c r="D106" s="9"/>
      <c r="E106" s="9"/>
      <c r="F106" s="9"/>
      <c r="G106" s="9"/>
      <c r="H106" s="9" t="str">
        <f>IF(G106="","",VLOOKUP(G106,业务功能_系统接口!$B$6:$H$1416,2,FALSE))</f>
        <v/>
      </c>
      <c r="I106" s="9" t="str">
        <f>IF(G106="","",VLOOKUP(G106,业务功能_系统接口!$B$6:$H$1416,3,FALSE))</f>
        <v/>
      </c>
      <c r="J106" s="9" t="str">
        <f>IF(G106="","",VLOOKUP(G106,业务功能_系统接口!$B$6:$H$1416,4,FALSE))</f>
        <v/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</row>
    <row r="107" spans="1:28">
      <c r="A107" s="25">
        <f t="shared" si="27"/>
        <v>102</v>
      </c>
      <c r="B107" s="32"/>
      <c r="C107" s="22"/>
      <c r="D107" s="9"/>
      <c r="E107" s="9"/>
      <c r="F107" s="9"/>
      <c r="G107" s="9"/>
      <c r="H107" s="9" t="str">
        <f>IF(G107="","",VLOOKUP(G107,业务功能_系统接口!$B$6:$H$1416,2,FALSE))</f>
        <v/>
      </c>
      <c r="I107" s="9" t="str">
        <f>IF(G107="","",VLOOKUP(G107,业务功能_系统接口!$B$6:$H$1416,3,FALSE))</f>
        <v/>
      </c>
      <c r="J107" s="9" t="str">
        <f>IF(G107="","",VLOOKUP(G107,业务功能_系统接口!$B$6:$H$1416,4,FALSE))</f>
        <v/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</row>
    <row r="108" spans="1:28">
      <c r="A108" s="25">
        <f t="shared" si="27"/>
        <v>103</v>
      </c>
      <c r="B108" s="32"/>
      <c r="C108" s="22"/>
      <c r="D108" s="9"/>
      <c r="E108" s="9"/>
      <c r="F108" s="9"/>
      <c r="G108" s="9"/>
      <c r="H108" s="9" t="str">
        <f>IF(G108="","",VLOOKUP(G108,业务功能_系统接口!$B$6:$H$1416,2,FALSE))</f>
        <v/>
      </c>
      <c r="I108" s="9" t="str">
        <f>IF(G108="","",VLOOKUP(G108,业务功能_系统接口!$B$6:$H$1416,3,FALSE))</f>
        <v/>
      </c>
      <c r="J108" s="9" t="str">
        <f>IF(G108="","",VLOOKUP(G108,业务功能_系统接口!$B$6:$H$1416,4,FALSE))</f>
        <v/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</row>
    <row r="109" spans="1:28">
      <c r="A109" s="25">
        <f t="shared" si="27"/>
        <v>104</v>
      </c>
      <c r="B109" s="32"/>
      <c r="C109" s="22"/>
      <c r="D109" s="9"/>
      <c r="E109" s="9"/>
      <c r="F109" s="9"/>
      <c r="G109" s="27"/>
      <c r="H109" s="9" t="str">
        <f>IF(G109="","",VLOOKUP(G109,业务功能_系统接口!$B$6:$H$1416,2,FALSE))</f>
        <v/>
      </c>
      <c r="I109" s="9" t="str">
        <f>IF(G109="","",VLOOKUP(G109,业务功能_系统接口!$B$6:$H$1416,3,FALSE))</f>
        <v/>
      </c>
      <c r="J109" s="9" t="str">
        <f>IF(G109="","",VLOOKUP(G109,业务功能_系统接口!$B$6:$H$1416,4,FALSE))</f>
        <v/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</row>
    <row r="110" spans="1:28">
      <c r="A110" s="25">
        <f t="shared" si="27"/>
        <v>105</v>
      </c>
      <c r="B110" s="32"/>
      <c r="C110" s="22"/>
      <c r="D110" s="9"/>
      <c r="E110" s="9"/>
      <c r="F110" s="9"/>
      <c r="G110" s="9"/>
      <c r="H110" s="9" t="str">
        <f>IF(G110="","",VLOOKUP(G110,业务功能_系统接口!$B$6:$H$1416,2,FALSE))</f>
        <v/>
      </c>
      <c r="I110" s="9" t="str">
        <f>IF(G110="","",VLOOKUP(G110,业务功能_系统接口!$B$6:$H$1416,3,FALSE))</f>
        <v/>
      </c>
      <c r="J110" s="9" t="str">
        <f>IF(G110="","",VLOOKUP(G110,业务功能_系统接口!$B$6:$H$1416,4,FALSE))</f>
        <v/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</row>
    <row r="111" spans="1:28">
      <c r="A111" s="25">
        <f t="shared" si="27"/>
        <v>106</v>
      </c>
      <c r="B111" s="32"/>
      <c r="C111" s="22"/>
      <c r="D111" s="9"/>
      <c r="E111" s="9"/>
      <c r="F111" s="9"/>
      <c r="G111" s="9"/>
      <c r="H111" s="9" t="str">
        <f>IF(G111="","",VLOOKUP(G111,业务功能_系统接口!$B$6:$H$1416,2,FALSE))</f>
        <v/>
      </c>
      <c r="I111" s="9" t="str">
        <f>IF(G111="","",VLOOKUP(G111,业务功能_系统接口!$B$6:$H$1416,3,FALSE))</f>
        <v/>
      </c>
      <c r="J111" s="9" t="str">
        <f>IF(G111="","",VLOOKUP(G111,业务功能_系统接口!$B$6:$H$1416,4,FALSE))</f>
        <v/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</row>
    <row r="112" spans="1:28">
      <c r="A112" s="25">
        <f t="shared" si="27"/>
        <v>107</v>
      </c>
      <c r="B112" s="32"/>
      <c r="C112" s="22"/>
      <c r="D112" s="9"/>
      <c r="E112" s="9"/>
      <c r="F112" s="9"/>
      <c r="G112" s="9"/>
      <c r="H112" s="9" t="str">
        <f>IF(G112="","",VLOOKUP(G112,业务功能_系统接口!$B$6:$H$1416,2,FALSE))</f>
        <v/>
      </c>
      <c r="I112" s="9" t="str">
        <f>IF(G112="","",VLOOKUP(G112,业务功能_系统接口!$B$6:$H$1416,3,FALSE))</f>
        <v/>
      </c>
      <c r="J112" s="9" t="str">
        <f>IF(G112="","",VLOOKUP(G112,业务功能_系统接口!$B$6:$H$1416,4,FALSE))</f>
        <v/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</row>
    <row r="113" spans="1:28">
      <c r="A113" s="25">
        <f t="shared" si="27"/>
        <v>108</v>
      </c>
      <c r="B113" s="32"/>
      <c r="C113" s="22"/>
      <c r="D113" s="9"/>
      <c r="E113" s="9"/>
      <c r="F113" s="9"/>
      <c r="G113" s="9"/>
      <c r="H113" s="9" t="str">
        <f>IF(G113="","",VLOOKUP(G113,业务功能_系统接口!$B$6:$H$1416,2,FALSE))</f>
        <v/>
      </c>
      <c r="I113" s="9" t="str">
        <f>IF(G113="","",VLOOKUP(G113,业务功能_系统接口!$B$6:$H$1416,3,FALSE))</f>
        <v/>
      </c>
      <c r="J113" s="9" t="str">
        <f>IF(G113="","",VLOOKUP(G113,业务功能_系统接口!$B$6:$H$1416,4,FALSE))</f>
        <v/>
      </c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</row>
    <row r="114" spans="1:28">
      <c r="A114" s="25">
        <f t="shared" si="27"/>
        <v>109</v>
      </c>
      <c r="B114" s="32"/>
      <c r="C114" s="22"/>
      <c r="D114" s="9"/>
      <c r="E114" s="9"/>
      <c r="F114" s="9"/>
      <c r="G114" s="9"/>
      <c r="H114" s="9" t="str">
        <f>IF(G114="","",VLOOKUP(G114,业务功能_系统接口!$B$6:$H$1416,2,FALSE))</f>
        <v/>
      </c>
      <c r="I114" s="9" t="str">
        <f>IF(G114="","",VLOOKUP(G114,业务功能_系统接口!$B$6:$H$1416,3,FALSE))</f>
        <v/>
      </c>
      <c r="J114" s="9" t="str">
        <f>IF(G114="","",VLOOKUP(G114,业务功能_系统接口!$B$6:$H$1416,4,FALSE))</f>
        <v/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</row>
    <row r="115" spans="1:28">
      <c r="A115" s="25">
        <f t="shared" si="27"/>
        <v>110</v>
      </c>
      <c r="B115" s="32"/>
      <c r="C115" s="24"/>
      <c r="D115" s="28"/>
      <c r="E115" s="28"/>
      <c r="F115" s="28"/>
      <c r="G115" s="28"/>
      <c r="H115" s="28" t="str">
        <f>IF(G115="","",VLOOKUP(G115,业务功能_系统接口!$B$6:$H$1416,2,FALSE))</f>
        <v/>
      </c>
      <c r="I115" s="28" t="str">
        <f>IF(G115="","",VLOOKUP(G115,业务功能_系统接口!$B$6:$H$1416,3,FALSE))</f>
        <v/>
      </c>
      <c r="J115" s="28" t="str">
        <f>IF(G115="","",VLOOKUP(G115,业务功能_系统接口!$B$6:$H$1416,4,FALSE))</f>
        <v/>
      </c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</row>
    <row r="116" spans="1:28">
      <c r="A116" s="25">
        <f t="shared" si="27"/>
        <v>111</v>
      </c>
      <c r="B116" s="32"/>
      <c r="C116" s="25"/>
      <c r="D116" s="9"/>
      <c r="E116" s="9"/>
      <c r="F116" s="9"/>
      <c r="G116" s="9"/>
      <c r="H116" s="9" t="str">
        <f>IF(G116="","",VLOOKUP(G116,业务功能_系统接口!$B$6:$H$1416,2,FALSE))</f>
        <v/>
      </c>
      <c r="I116" s="9" t="str">
        <f>IF(G116="","",VLOOKUP(G116,业务功能_系统接口!$B$6:$H$1416,3,FALSE))</f>
        <v/>
      </c>
      <c r="J116" s="9" t="str">
        <f>IF(G116="","",VLOOKUP(G116,业务功能_系统接口!$B$6:$H$1416,4,FALSE))</f>
        <v/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</row>
    <row r="117" spans="1:28">
      <c r="A117" s="25">
        <f t="shared" si="27"/>
        <v>112</v>
      </c>
      <c r="B117" s="32"/>
      <c r="C117" s="25"/>
      <c r="D117" s="9"/>
      <c r="E117" s="9"/>
      <c r="F117" s="9"/>
      <c r="G117" s="9"/>
      <c r="H117" s="9" t="str">
        <f>IF(G117="","",VLOOKUP(G117,业务功能_系统接口!$B$6:$H$1416,2,FALSE))</f>
        <v/>
      </c>
      <c r="I117" s="9" t="str">
        <f>IF(G117="","",VLOOKUP(G117,业务功能_系统接口!$B$6:$H$1416,3,FALSE))</f>
        <v/>
      </c>
      <c r="J117" s="9" t="str">
        <f>IF(G117="","",VLOOKUP(G117,业务功能_系统接口!$B$6:$H$1416,4,FALSE))</f>
        <v/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</row>
    <row r="118" spans="1:28">
      <c r="A118" s="25">
        <f t="shared" si="27"/>
        <v>113</v>
      </c>
      <c r="B118" s="32"/>
      <c r="C118" s="25"/>
      <c r="D118" s="9"/>
      <c r="E118" s="9"/>
      <c r="F118" s="9"/>
      <c r="G118" s="9"/>
      <c r="H118" s="9" t="str">
        <f>IF(G118="","",VLOOKUP(G118,业务功能_系统接口!$B$6:$H$1416,2,FALSE))</f>
        <v/>
      </c>
      <c r="I118" s="9" t="str">
        <f>IF(G118="","",VLOOKUP(G118,业务功能_系统接口!$B$6:$H$1416,3,FALSE))</f>
        <v/>
      </c>
      <c r="J118" s="9" t="str">
        <f>IF(G118="","",VLOOKUP(G118,业务功能_系统接口!$B$6:$H$1416,4,FALSE))</f>
        <v/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</row>
    <row r="119" spans="1:28">
      <c r="A119" s="25">
        <f t="shared" si="27"/>
        <v>114</v>
      </c>
      <c r="B119" s="32"/>
      <c r="C119" s="25"/>
      <c r="D119" s="9"/>
      <c r="E119" s="9"/>
      <c r="F119" s="9"/>
      <c r="G119" s="9"/>
      <c r="H119" s="9" t="str">
        <f>IF(G119="","",VLOOKUP(G119,业务功能_系统接口!$B$6:$H$1416,2,FALSE))</f>
        <v/>
      </c>
      <c r="I119" s="9" t="str">
        <f>IF(G119="","",VLOOKUP(G119,业务功能_系统接口!$B$6:$H$1416,3,FALSE))</f>
        <v/>
      </c>
      <c r="J119" s="9" t="str">
        <f>IF(G119="","",VLOOKUP(G119,业务功能_系统接口!$B$6:$H$1416,4,FALSE))</f>
        <v/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</row>
    <row r="120" spans="1:28">
      <c r="A120" s="25">
        <f t="shared" si="27"/>
        <v>115</v>
      </c>
      <c r="B120" s="32"/>
      <c r="C120" s="25"/>
      <c r="D120" s="9"/>
      <c r="E120" s="9"/>
      <c r="F120" s="9"/>
      <c r="G120" s="9"/>
      <c r="H120" s="9" t="str">
        <f>IF(G120="","",VLOOKUP(G120,业务功能_系统接口!$B$6:$H$1416,2,FALSE))</f>
        <v/>
      </c>
      <c r="I120" s="9" t="str">
        <f>IF(G120="","",VLOOKUP(G120,业务功能_系统接口!$B$6:$H$1416,3,FALSE))</f>
        <v/>
      </c>
      <c r="J120" s="9" t="str">
        <f>IF(G120="","",VLOOKUP(G120,业务功能_系统接口!$B$6:$H$1416,4,FALSE))</f>
        <v/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</row>
    <row r="121" spans="1:28">
      <c r="A121" s="25">
        <f t="shared" si="27"/>
        <v>116</v>
      </c>
      <c r="B121" s="32"/>
      <c r="C121" s="25"/>
      <c r="D121" s="9"/>
      <c r="E121" s="9"/>
      <c r="F121" s="9"/>
      <c r="G121" s="9"/>
      <c r="H121" s="9" t="str">
        <f>IF(G121="","",VLOOKUP(G121,业务功能_系统接口!$B$6:$H$1416,2,FALSE))</f>
        <v/>
      </c>
      <c r="I121" s="9" t="str">
        <f>IF(G121="","",VLOOKUP(G121,业务功能_系统接口!$B$6:$H$1416,3,FALSE))</f>
        <v/>
      </c>
      <c r="J121" s="9" t="str">
        <f>IF(G121="","",VLOOKUP(G121,业务功能_系统接口!$B$6:$H$1416,4,FALSE))</f>
        <v/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</row>
    <row r="122" spans="1:28">
      <c r="A122" s="25">
        <f t="shared" si="27"/>
        <v>117</v>
      </c>
      <c r="B122" s="32"/>
      <c r="C122" s="25"/>
      <c r="D122" s="9"/>
      <c r="E122" s="9"/>
      <c r="F122" s="9"/>
      <c r="G122" s="27"/>
      <c r="H122" s="9" t="str">
        <f>IF(G122="","",VLOOKUP(G122,业务功能_系统接口!$B$6:$H$1416,2,FALSE))</f>
        <v/>
      </c>
      <c r="I122" s="9" t="str">
        <f>IF(G122="","",VLOOKUP(G122,业务功能_系统接口!$B$6:$H$1416,3,FALSE))</f>
        <v/>
      </c>
      <c r="J122" s="9" t="str">
        <f>IF(G122="","",VLOOKUP(G122,业务功能_系统接口!$B$6:$H$1416,4,FALSE))</f>
        <v/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</row>
    <row r="123" spans="1:28">
      <c r="A123" s="25">
        <f t="shared" si="27"/>
        <v>118</v>
      </c>
      <c r="B123" s="32"/>
      <c r="C123" s="25"/>
      <c r="D123" s="9"/>
      <c r="E123" s="9"/>
      <c r="F123" s="9"/>
      <c r="G123" s="9"/>
      <c r="H123" s="9" t="str">
        <f>IF(G123="","",VLOOKUP(G123,业务功能_系统接口!$B$6:$H$1416,2,FALSE))</f>
        <v/>
      </c>
      <c r="I123" s="9" t="str">
        <f>IF(G123="","",VLOOKUP(G123,业务功能_系统接口!$B$6:$H$1416,3,FALSE))</f>
        <v/>
      </c>
      <c r="J123" s="9" t="str">
        <f>IF(G123="","",VLOOKUP(G123,业务功能_系统接口!$B$6:$H$1416,4,FALSE))</f>
        <v/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</row>
    <row r="124" spans="1:28">
      <c r="A124" s="25">
        <f t="shared" si="27"/>
        <v>119</v>
      </c>
      <c r="B124" s="32"/>
      <c r="C124" s="25"/>
      <c r="D124" s="9"/>
      <c r="E124" s="9"/>
      <c r="F124" s="9"/>
      <c r="G124" s="9"/>
      <c r="H124" s="9" t="str">
        <f>IF(G124="","",VLOOKUP(G124,业务功能_系统接口!$B$6:$H$1416,2,FALSE))</f>
        <v/>
      </c>
      <c r="I124" s="9" t="str">
        <f>IF(G124="","",VLOOKUP(G124,业务功能_系统接口!$B$6:$H$1416,3,FALSE))</f>
        <v/>
      </c>
      <c r="J124" s="9" t="str">
        <f>IF(G124="","",VLOOKUP(G124,业务功能_系统接口!$B$6:$H$1416,4,FALSE))</f>
        <v/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</row>
    <row r="125" spans="1:28">
      <c r="A125" s="25">
        <f t="shared" si="27"/>
        <v>120</v>
      </c>
      <c r="B125" s="25"/>
      <c r="C125" s="25"/>
      <c r="D125" s="9"/>
      <c r="E125" s="9"/>
      <c r="F125" s="9"/>
      <c r="G125" s="9"/>
      <c r="H125" s="9" t="str">
        <f>IF(G125="","",VLOOKUP(G125,业务功能_系统接口!$B$6:$H$1416,2,FALSE))</f>
        <v/>
      </c>
      <c r="I125" s="9" t="str">
        <f>IF(G125="","",VLOOKUP(G125,业务功能_系统接口!$B$6:$H$1416,3,FALSE))</f>
        <v/>
      </c>
      <c r="J125" s="9" t="str">
        <f>IF(G125="","",VLOOKUP(G125,业务功能_系统接口!$B$6:$H$1416,4,FALSE))</f>
        <v/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</row>
    <row r="126" spans="1:28">
      <c r="A126" s="25">
        <f t="shared" si="27"/>
        <v>121</v>
      </c>
      <c r="B126" s="25"/>
      <c r="C126" s="25"/>
      <c r="D126" s="9"/>
      <c r="E126" s="9"/>
      <c r="F126" s="9"/>
      <c r="G126" s="9"/>
      <c r="H126" s="9" t="str">
        <f>IF(G126="","",VLOOKUP(G126,业务功能_系统接口!$B$6:$H$1416,2,FALSE))</f>
        <v/>
      </c>
      <c r="I126" s="9" t="str">
        <f>IF(G126="","",VLOOKUP(G126,业务功能_系统接口!$B$6:$H$1416,3,FALSE))</f>
        <v/>
      </c>
      <c r="J126" s="9" t="str">
        <f>IF(G126="","",VLOOKUP(G126,业务功能_系统接口!$B$6:$H$1416,4,FALSE))</f>
        <v/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</row>
    <row r="127" spans="1:28">
      <c r="A127" s="25">
        <f t="shared" si="27"/>
        <v>122</v>
      </c>
      <c r="B127" s="25"/>
      <c r="C127" s="25"/>
      <c r="D127" s="9"/>
      <c r="E127" s="9"/>
      <c r="F127" s="9"/>
      <c r="G127" s="9"/>
      <c r="H127" s="9" t="str">
        <f>IF(G127="","",VLOOKUP(G127,业务功能_系统接口!$B$6:$H$1416,2,FALSE))</f>
        <v/>
      </c>
      <c r="I127" s="9" t="str">
        <f>IF(G127="","",VLOOKUP(G127,业务功能_系统接口!$B$6:$H$1416,3,FALSE))</f>
        <v/>
      </c>
      <c r="J127" s="9" t="str">
        <f>IF(G127="","",VLOOKUP(G127,业务功能_系统接口!$B$6:$H$1416,4,FALSE))</f>
        <v/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</row>
    <row r="128" spans="1:28">
      <c r="C128" s="8"/>
      <c r="H128" s="9" t="str">
        <f>IF(G128="","",VLOOKUP(G128,业务功能_系统接口!$B$6:$H$1416,2,FALSE))</f>
        <v/>
      </c>
      <c r="I128" s="9" t="str">
        <f>IF(G128="","",VLOOKUP(G128,业务功能_系统接口!$B$6:$H$1416,3,FALSE))</f>
        <v/>
      </c>
      <c r="J128" s="9" t="str">
        <f>IF(G128="","",VLOOKUP(G128,业务功能_系统接口!$B$6:$H$1416,4,FALSE))</f>
        <v/>
      </c>
    </row>
    <row r="129" spans="3:10">
      <c r="C129" s="8"/>
      <c r="H129" s="9" t="str">
        <f>IF(G129="","",VLOOKUP(G129,业务功能_系统接口!$B$6:$H$1416,2,FALSE))</f>
        <v/>
      </c>
      <c r="I129" s="9" t="str">
        <f>IF(G129="","",VLOOKUP(G129,业务功能_系统接口!$B$6:$H$1416,3,FALSE))</f>
        <v/>
      </c>
      <c r="J129" s="9" t="str">
        <f>IF(G129="","",VLOOKUP(G129,业务功能_系统接口!$B$6:$H$1416,4,FALSE))</f>
        <v/>
      </c>
    </row>
    <row r="130" spans="3:10">
      <c r="C130" s="8"/>
      <c r="H130" s="9" t="str">
        <f>IF(G130="","",VLOOKUP(G130,业务功能_系统接口!$B$6:$H$1416,2,FALSE))</f>
        <v/>
      </c>
      <c r="I130" s="9" t="str">
        <f>IF(G130="","",VLOOKUP(G130,业务功能_系统接口!$B$6:$H$1416,3,FALSE))</f>
        <v/>
      </c>
      <c r="J130" s="9" t="str">
        <f>IF(G130="","",VLOOKUP(G130,业务功能_系统接口!$B$6:$H$1416,4,FALSE))</f>
        <v/>
      </c>
    </row>
    <row r="131" spans="3:10">
      <c r="C131" s="8"/>
      <c r="H131" s="9" t="str">
        <f>IF(G131="","",VLOOKUP(G131,业务功能_系统接口!$B$6:$H$1416,2,FALSE))</f>
        <v/>
      </c>
      <c r="I131" s="9" t="str">
        <f>IF(G131="","",VLOOKUP(G131,业务功能_系统接口!$B$6:$H$1416,3,FALSE))</f>
        <v/>
      </c>
      <c r="J131" s="9" t="str">
        <f>IF(G131="","",VLOOKUP(G131,业务功能_系统接口!$B$6:$H$1416,4,FALSE))</f>
        <v/>
      </c>
    </row>
    <row r="132" spans="3:10">
      <c r="C132" s="8"/>
      <c r="H132" s="9" t="str">
        <f>IF(G132="","",VLOOKUP(G132,业务功能_系统接口!$B$6:$H$1416,2,FALSE))</f>
        <v/>
      </c>
      <c r="I132" s="9" t="str">
        <f>IF(G132="","",VLOOKUP(G132,业务功能_系统接口!$B$6:$H$1416,3,FALSE))</f>
        <v/>
      </c>
      <c r="J132" s="9" t="str">
        <f>IF(G132="","",VLOOKUP(G132,业务功能_系统接口!$B$6:$H$1416,4,FALSE))</f>
        <v/>
      </c>
    </row>
    <row r="133" spans="3:10">
      <c r="C133" s="8"/>
      <c r="H133" s="9" t="str">
        <f>IF(G133="","",VLOOKUP(G133,业务功能_系统接口!$B$6:$H$1416,2,FALSE))</f>
        <v/>
      </c>
      <c r="I133" s="9" t="str">
        <f>IF(G133="","",VLOOKUP(G133,业务功能_系统接口!$B$6:$H$1416,3,FALSE))</f>
        <v/>
      </c>
      <c r="J133" s="9" t="str">
        <f>IF(G133="","",VLOOKUP(G133,业务功能_系统接口!$B$6:$H$1416,4,FALSE))</f>
        <v/>
      </c>
    </row>
    <row r="134" spans="3:10">
      <c r="C134" s="8"/>
      <c r="H134" s="9" t="str">
        <f>IF(G134="","",VLOOKUP(G134,业务功能_系统接口!$B$6:$H$1416,2,FALSE))</f>
        <v/>
      </c>
      <c r="I134" s="9" t="str">
        <f>IF(G134="","",VLOOKUP(G134,业务功能_系统接口!$B$6:$H$1416,3,FALSE))</f>
        <v/>
      </c>
      <c r="J134" s="9" t="str">
        <f>IF(G134="","",VLOOKUP(G134,业务功能_系统接口!$B$6:$H$1416,4,FALSE))</f>
        <v/>
      </c>
    </row>
    <row r="135" spans="3:10">
      <c r="C135" s="8"/>
      <c r="H135" s="9" t="str">
        <f>IF(G135="","",VLOOKUP(G135,业务功能_系统接口!$B$6:$H$1416,2,FALSE))</f>
        <v/>
      </c>
      <c r="I135" s="9" t="str">
        <f>IF(G135="","",VLOOKUP(G135,业务功能_系统接口!$B$6:$H$1416,3,FALSE))</f>
        <v/>
      </c>
      <c r="J135" s="9" t="str">
        <f>IF(G135="","",VLOOKUP(G135,业务功能_系统接口!$B$6:$H$1416,4,FALSE))</f>
        <v/>
      </c>
    </row>
    <row r="136" spans="3:10">
      <c r="C136" s="8"/>
      <c r="H136" s="9" t="str">
        <f>IF(G136="","",VLOOKUP(G136,业务功能_系统接口!$B$6:$H$1416,2,FALSE))</f>
        <v/>
      </c>
      <c r="I136" s="9" t="str">
        <f>IF(G136="","",VLOOKUP(G136,业务功能_系统接口!$B$6:$H$1416,3,FALSE))</f>
        <v/>
      </c>
      <c r="J136" s="9" t="str">
        <f>IF(G136="","",VLOOKUP(G136,业务功能_系统接口!$B$6:$H$1416,4,FALSE))</f>
        <v/>
      </c>
    </row>
    <row r="137" spans="3:10">
      <c r="C137" s="8"/>
      <c r="H137" s="9" t="str">
        <f>IF(G137="","",VLOOKUP(G137,业务功能_系统接口!$B$6:$H$1416,2,FALSE))</f>
        <v/>
      </c>
      <c r="I137" s="9" t="str">
        <f>IF(G137="","",VLOOKUP(G137,业务功能_系统接口!$B$6:$H$1416,3,FALSE))</f>
        <v/>
      </c>
      <c r="J137" s="9" t="str">
        <f>IF(G137="","",VLOOKUP(G137,业务功能_系统接口!$B$6:$H$1416,4,FALSE))</f>
        <v/>
      </c>
    </row>
    <row r="138" spans="3:10">
      <c r="C138" s="8"/>
      <c r="H138" s="9" t="str">
        <f>IF(G138="","",VLOOKUP(G138,业务功能_系统接口!$B$6:$H$1416,2,FALSE))</f>
        <v/>
      </c>
      <c r="I138" s="9" t="str">
        <f>IF(G138="","",VLOOKUP(G138,业务功能_系统接口!$B$6:$H$1416,3,FALSE))</f>
        <v/>
      </c>
      <c r="J138" s="9" t="str">
        <f>IF(G138="","",VLOOKUP(G138,业务功能_系统接口!$B$6:$H$1416,4,FALSE))</f>
        <v/>
      </c>
    </row>
    <row r="139" spans="3:10">
      <c r="C139" s="8"/>
      <c r="H139" s="9" t="str">
        <f>IF(G139="","",VLOOKUP(G139,业务功能_系统接口!$B$6:$H$1416,2,FALSE))</f>
        <v/>
      </c>
      <c r="I139" s="9" t="str">
        <f>IF(G139="","",VLOOKUP(G139,业务功能_系统接口!$B$6:$H$1416,3,FALSE))</f>
        <v/>
      </c>
      <c r="J139" s="9" t="str">
        <f>IF(G139="","",VLOOKUP(G139,业务功能_系统接口!$B$6:$H$1416,4,FALSE))</f>
        <v/>
      </c>
    </row>
    <row r="140" spans="3:10">
      <c r="C140" s="8"/>
      <c r="H140" s="9" t="str">
        <f>IF(G140="","",VLOOKUP(G140,业务功能_系统接口!$B$6:$H$1416,2,FALSE))</f>
        <v/>
      </c>
      <c r="I140" s="9" t="str">
        <f>IF(G140="","",VLOOKUP(G140,业务功能_系统接口!$B$6:$H$1416,3,FALSE))</f>
        <v/>
      </c>
      <c r="J140" s="9" t="str">
        <f>IF(G140="","",VLOOKUP(G140,业务功能_系统接口!$B$6:$H$1416,4,FALSE))</f>
        <v/>
      </c>
    </row>
    <row r="141" spans="3:10">
      <c r="C141" s="8"/>
      <c r="H141" s="9" t="str">
        <f>IF(G141="","",VLOOKUP(G141,业务功能_系统接口!$B$6:$H$1416,2,FALSE))</f>
        <v/>
      </c>
      <c r="I141" s="9" t="str">
        <f>IF(G141="","",VLOOKUP(G141,业务功能_系统接口!$B$6:$H$1416,3,FALSE))</f>
        <v/>
      </c>
      <c r="J141" s="9" t="str">
        <f>IF(G141="","",VLOOKUP(G141,业务功能_系统接口!$B$6:$H$1416,4,FALSE))</f>
        <v/>
      </c>
    </row>
    <row r="142" spans="3:10">
      <c r="C142" s="8"/>
      <c r="H142" s="9" t="str">
        <f>IF(G142="","",VLOOKUP(G142,业务功能_系统接口!$B$6:$H$1416,2,FALSE))</f>
        <v/>
      </c>
      <c r="I142" s="9" t="str">
        <f>IF(G142="","",VLOOKUP(G142,业务功能_系统接口!$B$6:$H$1416,3,FALSE))</f>
        <v/>
      </c>
      <c r="J142" s="9" t="str">
        <f>IF(G142="","",VLOOKUP(G142,业务功能_系统接口!$B$6:$H$1416,4,FALSE))</f>
        <v/>
      </c>
    </row>
    <row r="143" spans="3:10">
      <c r="C143" s="8"/>
      <c r="H143" s="9" t="str">
        <f>IF(G143="","",VLOOKUP(G143,业务功能_系统接口!$B$6:$H$1416,2,FALSE))</f>
        <v/>
      </c>
      <c r="I143" s="9" t="str">
        <f>IF(G143="","",VLOOKUP(G143,业务功能_系统接口!$B$6:$H$1416,3,FALSE))</f>
        <v/>
      </c>
      <c r="J143" s="9" t="str">
        <f>IF(G143="","",VLOOKUP(G143,业务功能_系统接口!$B$6:$H$1416,4,FALSE))</f>
        <v/>
      </c>
    </row>
    <row r="144" spans="3:10">
      <c r="C144" s="8"/>
      <c r="H144" s="9" t="str">
        <f>IF(G144="","",VLOOKUP(G144,业务功能_系统接口!$B$6:$H$1416,2,FALSE))</f>
        <v/>
      </c>
      <c r="I144" s="9" t="str">
        <f>IF(G144="","",VLOOKUP(G144,业务功能_系统接口!$B$6:$H$1416,3,FALSE))</f>
        <v/>
      </c>
      <c r="J144" s="9" t="str">
        <f>IF(G144="","",VLOOKUP(G144,业务功能_系统接口!$B$6:$H$1416,4,FALSE))</f>
        <v/>
      </c>
    </row>
    <row r="145" spans="3:10">
      <c r="C145" s="8"/>
      <c r="H145" s="9" t="str">
        <f>IF(G145="","",VLOOKUP(G145,业务功能_系统接口!$B$6:$H$1416,2,FALSE))</f>
        <v/>
      </c>
      <c r="I145" s="9" t="str">
        <f>IF(G145="","",VLOOKUP(G145,业务功能_系统接口!$B$6:$H$1416,3,FALSE))</f>
        <v/>
      </c>
      <c r="J145" s="9" t="str">
        <f>IF(G145="","",VLOOKUP(G145,业务功能_系统接口!$B$6:$H$1416,4,FALSE))</f>
        <v/>
      </c>
    </row>
    <row r="146" spans="3:10">
      <c r="C146" s="8"/>
      <c r="H146" s="9" t="str">
        <f>IF(G146="","",VLOOKUP(G146,业务功能_系统接口!$B$6:$H$1416,2,FALSE))</f>
        <v/>
      </c>
      <c r="I146" s="9" t="str">
        <f>IF(G146="","",VLOOKUP(G146,业务功能_系统接口!$B$6:$H$1416,3,FALSE))</f>
        <v/>
      </c>
      <c r="J146" s="9" t="str">
        <f>IF(G146="","",VLOOKUP(G146,业务功能_系统接口!$B$6:$H$1416,4,FALSE))</f>
        <v/>
      </c>
    </row>
    <row r="147" spans="3:10">
      <c r="C147" s="8"/>
      <c r="H147" s="9" t="str">
        <f>IF(G147="","",VLOOKUP(G147,业务功能_系统接口!$B$6:$H$1416,2,FALSE))</f>
        <v/>
      </c>
      <c r="I147" s="9" t="str">
        <f>IF(G147="","",VLOOKUP(G147,业务功能_系统接口!$B$6:$H$1416,3,FALSE))</f>
        <v/>
      </c>
      <c r="J147" s="9" t="str">
        <f>IF(G147="","",VLOOKUP(G147,业务功能_系统接口!$B$6:$H$1416,4,FALSE))</f>
        <v/>
      </c>
    </row>
    <row r="148" spans="3:10">
      <c r="C148" s="8"/>
      <c r="H148" s="9" t="str">
        <f>IF(G148="","",VLOOKUP(G148,业务功能_系统接口!$B$6:$H$1416,2,FALSE))</f>
        <v/>
      </c>
      <c r="I148" s="9" t="str">
        <f>IF(G148="","",VLOOKUP(G148,业务功能_系统接口!$B$6:$H$1416,3,FALSE))</f>
        <v/>
      </c>
      <c r="J148" s="9" t="str">
        <f>IF(G148="","",VLOOKUP(G148,业务功能_系统接口!$B$6:$H$1416,4,FALSE))</f>
        <v/>
      </c>
    </row>
    <row r="149" spans="3:10">
      <c r="C149" s="8"/>
      <c r="H149" s="9" t="str">
        <f>IF(G149="","",VLOOKUP(G149,业务功能_系统接口!$B$6:$H$1416,2,FALSE))</f>
        <v/>
      </c>
      <c r="I149" s="9" t="str">
        <f>IF(G149="","",VLOOKUP(G149,业务功能_系统接口!$B$6:$H$1416,3,FALSE))</f>
        <v/>
      </c>
      <c r="J149" s="9" t="str">
        <f>IF(G149="","",VLOOKUP(G149,业务功能_系统接口!$B$6:$H$1416,4,FALSE))</f>
        <v/>
      </c>
    </row>
    <row r="150" spans="3:10">
      <c r="C150" s="8"/>
      <c r="H150" s="9" t="str">
        <f>IF(G150="","",VLOOKUP(G150,业务功能_系统接口!$B$6:$H$1416,2,FALSE))</f>
        <v/>
      </c>
      <c r="I150" s="9" t="str">
        <f>IF(G150="","",VLOOKUP(G150,业务功能_系统接口!$B$6:$H$1416,3,FALSE))</f>
        <v/>
      </c>
      <c r="J150" s="9" t="str">
        <f>IF(G150="","",VLOOKUP(G150,业务功能_系统接口!$B$6:$H$1416,4,FALSE))</f>
        <v/>
      </c>
    </row>
    <row r="151" spans="3:10">
      <c r="C151" s="8"/>
      <c r="H151" s="9" t="str">
        <f>IF(G151="","",VLOOKUP(G151,业务功能_系统接口!$B$6:$H$1416,2,FALSE))</f>
        <v/>
      </c>
      <c r="I151" s="9" t="str">
        <f>IF(G151="","",VLOOKUP(G151,业务功能_系统接口!$B$6:$H$1416,3,FALSE))</f>
        <v/>
      </c>
      <c r="J151" s="9" t="str">
        <f>IF(G151="","",VLOOKUP(G151,业务功能_系统接口!$B$6:$H$1416,4,FALSE))</f>
        <v/>
      </c>
    </row>
    <row r="152" spans="3:10">
      <c r="C152" s="8"/>
      <c r="H152" s="9" t="str">
        <f>IF(G152="","",VLOOKUP(G152,业务功能_系统接口!$B$6:$H$1416,2,FALSE))</f>
        <v/>
      </c>
      <c r="I152" s="9" t="str">
        <f>IF(G152="","",VLOOKUP(G152,业务功能_系统接口!$B$6:$H$1416,3,FALSE))</f>
        <v/>
      </c>
      <c r="J152" s="9" t="str">
        <f>IF(G152="","",VLOOKUP(G152,业务功能_系统接口!$B$6:$H$1416,4,FALSE))</f>
        <v/>
      </c>
    </row>
    <row r="153" spans="3:10">
      <c r="C153" s="8"/>
      <c r="H153" s="9" t="str">
        <f>IF(G153="","",VLOOKUP(G153,业务功能_系统接口!$B$6:$H$1416,2,FALSE))</f>
        <v/>
      </c>
      <c r="I153" s="9" t="str">
        <f>IF(G153="","",VLOOKUP(G153,业务功能_系统接口!$B$6:$H$1416,3,FALSE))</f>
        <v/>
      </c>
      <c r="J153" s="9" t="str">
        <f>IF(G153="","",VLOOKUP(G153,业务功能_系统接口!$B$6:$H$1416,4,FALSE))</f>
        <v/>
      </c>
    </row>
    <row r="154" spans="3:10">
      <c r="C154" s="8"/>
      <c r="H154" s="9" t="str">
        <f>IF(G154="","",VLOOKUP(G154,业务功能_系统接口!$B$6:$H$1416,2,FALSE))</f>
        <v/>
      </c>
      <c r="I154" s="9" t="str">
        <f>IF(G154="","",VLOOKUP(G154,业务功能_系统接口!$B$6:$H$1416,3,FALSE))</f>
        <v/>
      </c>
      <c r="J154" s="9" t="str">
        <f>IF(G154="","",VLOOKUP(G154,业务功能_系统接口!$B$6:$H$1416,4,FALSE))</f>
        <v/>
      </c>
    </row>
    <row r="155" spans="3:10">
      <c r="C155" s="8"/>
      <c r="H155" s="9" t="str">
        <f>IF(G155="","",VLOOKUP(G155,业务功能_系统接口!$B$6:$H$1416,2,FALSE))</f>
        <v/>
      </c>
      <c r="I155" s="9" t="str">
        <f>IF(G155="","",VLOOKUP(G155,业务功能_系统接口!$B$6:$H$1416,3,FALSE))</f>
        <v/>
      </c>
      <c r="J155" s="9" t="str">
        <f>IF(G155="","",VLOOKUP(G155,业务功能_系统接口!$B$6:$H$1416,4,FALSE))</f>
        <v/>
      </c>
    </row>
    <row r="156" spans="3:10">
      <c r="C156" s="8"/>
      <c r="H156" s="9" t="str">
        <f>IF(G156="","",VLOOKUP(G156,业务功能_系统接口!$B$6:$H$1416,2,FALSE))</f>
        <v/>
      </c>
      <c r="I156" s="9" t="str">
        <f>IF(G156="","",VLOOKUP(G156,业务功能_系统接口!$B$6:$H$1416,3,FALSE))</f>
        <v/>
      </c>
      <c r="J156" s="9" t="str">
        <f>IF(G156="","",VLOOKUP(G156,业务功能_系统接口!$B$6:$H$1416,4,FALSE))</f>
        <v/>
      </c>
    </row>
    <row r="157" spans="3:10">
      <c r="C157" s="8"/>
      <c r="H157" s="9" t="str">
        <f>IF(G157="","",VLOOKUP(G157,业务功能_系统接口!$B$6:$H$1416,2,FALSE))</f>
        <v/>
      </c>
      <c r="I157" s="9" t="str">
        <f>IF(G157="","",VLOOKUP(G157,业务功能_系统接口!$B$6:$H$1416,3,FALSE))</f>
        <v/>
      </c>
      <c r="J157" s="9" t="str">
        <f>IF(G157="","",VLOOKUP(G157,业务功能_系统接口!$B$6:$H$1416,4,FALSE))</f>
        <v/>
      </c>
    </row>
    <row r="158" spans="3:10">
      <c r="C158" s="8"/>
      <c r="H158" s="9" t="str">
        <f>IF(G158="","",VLOOKUP(G158,业务功能_系统接口!$B$6:$H$1416,2,FALSE))</f>
        <v/>
      </c>
      <c r="I158" s="9" t="str">
        <f>IF(G158="","",VLOOKUP(G158,业务功能_系统接口!$B$6:$H$1416,3,FALSE))</f>
        <v/>
      </c>
      <c r="J158" s="9" t="str">
        <f>IF(G158="","",VLOOKUP(G158,业务功能_系统接口!$B$6:$H$1416,4,FALSE))</f>
        <v/>
      </c>
    </row>
    <row r="159" spans="3:10">
      <c r="C159" s="8"/>
      <c r="H159" s="9" t="str">
        <f>IF(G159="","",VLOOKUP(G159,业务功能_系统接口!$B$6:$H$1416,2,FALSE))</f>
        <v/>
      </c>
      <c r="I159" s="9" t="str">
        <f>IF(G159="","",VLOOKUP(G159,业务功能_系统接口!$B$6:$H$1416,3,FALSE))</f>
        <v/>
      </c>
      <c r="J159" s="9" t="str">
        <f>IF(G159="","",VLOOKUP(G159,业务功能_系统接口!$B$6:$H$1416,4,FALSE))</f>
        <v/>
      </c>
    </row>
    <row r="160" spans="3:10">
      <c r="C160" s="8"/>
      <c r="H160" s="9" t="str">
        <f>IF(G160="","",VLOOKUP(G160,业务功能_系统接口!$B$6:$H$1416,2,FALSE))</f>
        <v/>
      </c>
      <c r="I160" s="9" t="str">
        <f>IF(G160="","",VLOOKUP(G160,业务功能_系统接口!$B$6:$H$1416,3,FALSE))</f>
        <v/>
      </c>
      <c r="J160" s="9" t="str">
        <f>IF(G160="","",VLOOKUP(G160,业务功能_系统接口!$B$6:$H$1416,4,FALSE))</f>
        <v/>
      </c>
    </row>
    <row r="161" spans="3:10">
      <c r="C161" s="8"/>
      <c r="H161" s="9" t="str">
        <f>IF(G161="","",VLOOKUP(G161,业务功能_系统接口!$B$6:$H$1416,2,FALSE))</f>
        <v/>
      </c>
      <c r="I161" s="9" t="str">
        <f>IF(G161="","",VLOOKUP(G161,业务功能_系统接口!$B$6:$H$1416,3,FALSE))</f>
        <v/>
      </c>
      <c r="J161" s="9" t="str">
        <f>IF(G161="","",VLOOKUP(G161,业务功能_系统接口!$B$6:$H$1416,4,FALSE))</f>
        <v/>
      </c>
    </row>
    <row r="162" spans="3:10">
      <c r="C162" s="8"/>
      <c r="H162" s="9" t="str">
        <f>IF(G162="","",VLOOKUP(G162,业务功能_系统接口!$B$6:$H$1416,2,FALSE))</f>
        <v/>
      </c>
      <c r="I162" s="9" t="str">
        <f>IF(G162="","",VLOOKUP(G162,业务功能_系统接口!$B$6:$H$1416,3,FALSE))</f>
        <v/>
      </c>
      <c r="J162" s="9" t="str">
        <f>IF(G162="","",VLOOKUP(G162,业务功能_系统接口!$B$6:$H$1416,4,FALSE))</f>
        <v/>
      </c>
    </row>
    <row r="163" spans="3:10">
      <c r="C163" s="8"/>
      <c r="H163" s="9" t="str">
        <f>IF(G163="","",VLOOKUP(G163,业务功能_系统接口!$B$6:$H$1416,2,FALSE))</f>
        <v/>
      </c>
      <c r="I163" s="9" t="str">
        <f>IF(G163="","",VLOOKUP(G163,业务功能_系统接口!$B$6:$H$1416,3,FALSE))</f>
        <v/>
      </c>
      <c r="J163" s="9" t="str">
        <f>IF(G163="","",VLOOKUP(G163,业务功能_系统接口!$B$6:$H$1416,4,FALSE))</f>
        <v/>
      </c>
    </row>
    <row r="164" spans="3:10">
      <c r="C164" s="8"/>
      <c r="H164" s="9" t="str">
        <f>IF(G164="","",VLOOKUP(G164,业务功能_系统接口!$B$6:$H$1416,2,FALSE))</f>
        <v/>
      </c>
      <c r="I164" s="9" t="str">
        <f>IF(G164="","",VLOOKUP(G164,业务功能_系统接口!$B$6:$H$1416,3,FALSE))</f>
        <v/>
      </c>
      <c r="J164" s="9" t="str">
        <f>IF(G164="","",VLOOKUP(G164,业务功能_系统接口!$B$6:$H$1416,4,FALSE))</f>
        <v/>
      </c>
    </row>
    <row r="165" spans="3:10">
      <c r="C165" s="8"/>
      <c r="H165" s="9" t="str">
        <f>IF(G165="","",VLOOKUP(G165,业务功能_系统接口!$B$6:$H$1416,2,FALSE))</f>
        <v/>
      </c>
      <c r="I165" s="9" t="str">
        <f>IF(G165="","",VLOOKUP(G165,业务功能_系统接口!$B$6:$H$1416,3,FALSE))</f>
        <v/>
      </c>
      <c r="J165" s="9" t="str">
        <f>IF(G165="","",VLOOKUP(G165,业务功能_系统接口!$B$6:$H$1416,4,FALSE))</f>
        <v/>
      </c>
    </row>
    <row r="166" spans="3:10">
      <c r="C166" s="8"/>
      <c r="H166" s="9" t="str">
        <f>IF(G166="","",VLOOKUP(G166,业务功能_系统接口!$B$6:$H$1416,2,FALSE))</f>
        <v/>
      </c>
      <c r="I166" s="9" t="str">
        <f>IF(G166="","",VLOOKUP(G166,业务功能_系统接口!$B$6:$H$1416,3,FALSE))</f>
        <v/>
      </c>
      <c r="J166" s="9" t="str">
        <f>IF(G166="","",VLOOKUP(G166,业务功能_系统接口!$B$6:$H$1416,4,FALSE))</f>
        <v/>
      </c>
    </row>
    <row r="167" spans="3:10">
      <c r="C167" s="8"/>
      <c r="H167" s="9" t="str">
        <f>IF(G167="","",VLOOKUP(G167,业务功能_系统接口!$B$6:$H$1416,2,FALSE))</f>
        <v/>
      </c>
      <c r="I167" s="9" t="str">
        <f>IF(G167="","",VLOOKUP(G167,业务功能_系统接口!$B$6:$H$1416,3,FALSE))</f>
        <v/>
      </c>
      <c r="J167" s="9" t="str">
        <f>IF(G167="","",VLOOKUP(G167,业务功能_系统接口!$B$6:$H$1416,4,FALSE))</f>
        <v/>
      </c>
    </row>
    <row r="168" spans="3:10">
      <c r="C168" s="8"/>
      <c r="H168" s="9" t="str">
        <f>IF(G168="","",VLOOKUP(G168,业务功能_系统接口!$B$6:$H$1416,2,FALSE))</f>
        <v/>
      </c>
      <c r="I168" s="9" t="str">
        <f>IF(G168="","",VLOOKUP(G168,业务功能_系统接口!$B$6:$H$1416,3,FALSE))</f>
        <v/>
      </c>
      <c r="J168" s="9" t="str">
        <f>IF(G168="","",VLOOKUP(G168,业务功能_系统接口!$B$6:$H$1416,4,FALSE))</f>
        <v/>
      </c>
    </row>
    <row r="169" spans="3:10">
      <c r="C169" s="8"/>
      <c r="H169" s="9" t="str">
        <f>IF(G169="","",VLOOKUP(G169,业务功能_系统接口!$B$6:$H$1416,2,FALSE))</f>
        <v/>
      </c>
      <c r="I169" s="9" t="str">
        <f>IF(G169="","",VLOOKUP(G169,业务功能_系统接口!$B$6:$H$1416,3,FALSE))</f>
        <v/>
      </c>
      <c r="J169" s="9" t="str">
        <f>IF(G169="","",VLOOKUP(G169,业务功能_系统接口!$B$6:$H$1416,4,FALSE))</f>
        <v/>
      </c>
    </row>
    <row r="170" spans="3:10">
      <c r="C170" s="8"/>
      <c r="H170" s="9" t="str">
        <f>IF(G170="","",VLOOKUP(G170,业务功能_系统接口!$B$6:$H$1416,2,FALSE))</f>
        <v/>
      </c>
      <c r="I170" s="9" t="str">
        <f>IF(G170="","",VLOOKUP(G170,业务功能_系统接口!$B$6:$H$1416,3,FALSE))</f>
        <v/>
      </c>
      <c r="J170" s="9" t="str">
        <f>IF(G170="","",VLOOKUP(G170,业务功能_系统接口!$B$6:$H$1416,4,FALSE))</f>
        <v/>
      </c>
    </row>
    <row r="171" spans="3:10">
      <c r="C171" s="8"/>
      <c r="H171" s="9" t="str">
        <f>IF(G171="","",VLOOKUP(G171,业务功能_系统接口!$B$6:$H$1416,2,FALSE))</f>
        <v/>
      </c>
      <c r="I171" s="9" t="str">
        <f>IF(G171="","",VLOOKUP(G171,业务功能_系统接口!$B$6:$H$1416,3,FALSE))</f>
        <v/>
      </c>
      <c r="J171" s="9" t="str">
        <f>IF(G171="","",VLOOKUP(G171,业务功能_系统接口!$B$6:$H$1416,4,FALSE))</f>
        <v/>
      </c>
    </row>
    <row r="172" spans="3:10">
      <c r="C172" s="8"/>
      <c r="H172" s="9" t="str">
        <f>IF(G172="","",VLOOKUP(G172,业务功能_系统接口!$B$6:$H$1416,2,FALSE))</f>
        <v/>
      </c>
      <c r="I172" s="9" t="str">
        <f>IF(G172="","",VLOOKUP(G172,业务功能_系统接口!$B$6:$H$1416,3,FALSE))</f>
        <v/>
      </c>
      <c r="J172" s="9" t="str">
        <f>IF(G172="","",VLOOKUP(G172,业务功能_系统接口!$B$6:$H$1416,4,FALSE))</f>
        <v/>
      </c>
    </row>
    <row r="173" spans="3:10">
      <c r="C173" s="8"/>
      <c r="H173" s="9" t="str">
        <f>IF(G173="","",VLOOKUP(G173,业务功能_系统接口!$B$6:$H$1416,2,FALSE))</f>
        <v/>
      </c>
      <c r="I173" s="9" t="str">
        <f>IF(G173="","",VLOOKUP(G173,业务功能_系统接口!$B$6:$H$1416,3,FALSE))</f>
        <v/>
      </c>
      <c r="J173" s="9" t="str">
        <f>IF(G173="","",VLOOKUP(G173,业务功能_系统接口!$B$6:$H$1416,4,FALSE))</f>
        <v/>
      </c>
    </row>
    <row r="174" spans="3:10">
      <c r="C174" s="8"/>
      <c r="H174" s="9" t="str">
        <f>IF(G174="","",VLOOKUP(G174,业务功能_系统接口!$B$6:$H$1416,2,FALSE))</f>
        <v/>
      </c>
      <c r="I174" s="9" t="str">
        <f>IF(G174="","",VLOOKUP(G174,业务功能_系统接口!$B$6:$H$1416,3,FALSE))</f>
        <v/>
      </c>
      <c r="J174" s="9" t="str">
        <f>IF(G174="","",VLOOKUP(G174,业务功能_系统接口!$B$6:$H$1416,4,FALSE))</f>
        <v/>
      </c>
    </row>
    <row r="175" spans="3:10">
      <c r="C175" s="8"/>
      <c r="H175" s="9" t="str">
        <f>IF(G175="","",VLOOKUP(G175,业务功能_系统接口!$B$6:$H$1416,2,FALSE))</f>
        <v/>
      </c>
      <c r="I175" s="9" t="str">
        <f>IF(G175="","",VLOOKUP(G175,业务功能_系统接口!$B$6:$H$1416,3,FALSE))</f>
        <v/>
      </c>
      <c r="J175" s="9" t="str">
        <f>IF(G175="","",VLOOKUP(G175,业务功能_系统接口!$B$6:$H$1416,4,FALSE))</f>
        <v/>
      </c>
    </row>
    <row r="176" spans="3:10">
      <c r="C176" s="8"/>
      <c r="H176" s="9" t="str">
        <f>IF(G176="","",VLOOKUP(G176,业务功能_系统接口!$B$6:$H$1416,2,FALSE))</f>
        <v/>
      </c>
      <c r="I176" s="9" t="str">
        <f>IF(G176="","",VLOOKUP(G176,业务功能_系统接口!$B$6:$H$1416,3,FALSE))</f>
        <v/>
      </c>
      <c r="J176" s="9" t="str">
        <f>IF(G176="","",VLOOKUP(G176,业务功能_系统接口!$B$6:$H$1416,4,FALSE))</f>
        <v/>
      </c>
    </row>
    <row r="177" spans="3:10">
      <c r="C177" s="8"/>
      <c r="H177" s="9" t="str">
        <f>IF(G177="","",VLOOKUP(G177,业务功能_系统接口!$B$6:$H$1416,2,FALSE))</f>
        <v/>
      </c>
      <c r="I177" s="9" t="str">
        <f>IF(G177="","",VLOOKUP(G177,业务功能_系统接口!$B$6:$H$1416,3,FALSE))</f>
        <v/>
      </c>
      <c r="J177" s="9" t="str">
        <f>IF(G177="","",VLOOKUP(G177,业务功能_系统接口!$B$6:$H$1416,4,FALSE))</f>
        <v/>
      </c>
    </row>
    <row r="178" spans="3:10">
      <c r="C178" s="8"/>
      <c r="H178" s="9" t="str">
        <f>IF(G178="","",VLOOKUP(G178,业务功能_系统接口!$B$6:$H$1416,2,FALSE))</f>
        <v/>
      </c>
      <c r="I178" s="9" t="str">
        <f>IF(G178="","",VLOOKUP(G178,业务功能_系统接口!$B$6:$H$1416,3,FALSE))</f>
        <v/>
      </c>
      <c r="J178" s="9" t="str">
        <f>IF(G178="","",VLOOKUP(G178,业务功能_系统接口!$B$6:$H$1416,4,FALSE))</f>
        <v/>
      </c>
    </row>
    <row r="179" spans="3:10">
      <c r="C179" s="8"/>
      <c r="H179" s="9" t="str">
        <f>IF(G179="","",VLOOKUP(G179,业务功能_系统接口!$B$6:$H$1416,2,FALSE))</f>
        <v/>
      </c>
      <c r="I179" s="9" t="str">
        <f>IF(G179="","",VLOOKUP(G179,业务功能_系统接口!$B$6:$H$1416,3,FALSE))</f>
        <v/>
      </c>
      <c r="J179" s="9" t="str">
        <f>IF(G179="","",VLOOKUP(G179,业务功能_系统接口!$B$6:$H$1416,4,FALSE))</f>
        <v/>
      </c>
    </row>
    <row r="180" spans="3:10">
      <c r="C180" s="8"/>
      <c r="H180" s="9" t="str">
        <f>IF(G180="","",VLOOKUP(G180,业务功能_系统接口!$B$6:$H$1416,2,FALSE))</f>
        <v/>
      </c>
      <c r="I180" s="9" t="str">
        <f>IF(G180="","",VLOOKUP(G180,业务功能_系统接口!$B$6:$H$1416,3,FALSE))</f>
        <v/>
      </c>
      <c r="J180" s="9" t="str">
        <f>IF(G180="","",VLOOKUP(G180,业务功能_系统接口!$B$6:$H$1416,4,FALSE))</f>
        <v/>
      </c>
    </row>
    <row r="181" spans="3:10">
      <c r="C181" s="8"/>
      <c r="H181" s="9" t="str">
        <f>IF(G181="","",VLOOKUP(G181,业务功能_系统接口!$B$6:$H$1416,2,FALSE))</f>
        <v/>
      </c>
      <c r="I181" s="9" t="str">
        <f>IF(G181="","",VLOOKUP(G181,业务功能_系统接口!$B$6:$H$1416,3,FALSE))</f>
        <v/>
      </c>
      <c r="J181" s="9" t="str">
        <f>IF(G181="","",VLOOKUP(G181,业务功能_系统接口!$B$6:$H$1416,4,FALSE))</f>
        <v/>
      </c>
    </row>
    <row r="182" spans="3:10">
      <c r="C182" s="8"/>
      <c r="H182" s="9" t="str">
        <f>IF(G182="","",VLOOKUP(G182,业务功能_系统接口!$B$6:$H$1416,2,FALSE))</f>
        <v/>
      </c>
      <c r="I182" s="9" t="str">
        <f>IF(G182="","",VLOOKUP(G182,业务功能_系统接口!$B$6:$H$1416,3,FALSE))</f>
        <v/>
      </c>
      <c r="J182" s="9" t="str">
        <f>IF(G182="","",VLOOKUP(G182,业务功能_系统接口!$B$6:$H$1416,4,FALSE))</f>
        <v/>
      </c>
    </row>
    <row r="183" spans="3:10">
      <c r="C183" s="8"/>
      <c r="H183" s="9" t="str">
        <f>IF(G183="","",VLOOKUP(G183,业务功能_系统接口!$B$6:$H$1416,2,FALSE))</f>
        <v/>
      </c>
      <c r="I183" s="9" t="str">
        <f>IF(G183="","",VLOOKUP(G183,业务功能_系统接口!$B$6:$H$1416,3,FALSE))</f>
        <v/>
      </c>
      <c r="J183" s="9" t="str">
        <f>IF(G183="","",VLOOKUP(G183,业务功能_系统接口!$B$6:$H$1416,4,FALSE))</f>
        <v/>
      </c>
    </row>
    <row r="184" spans="3:10">
      <c r="C184" s="8"/>
      <c r="H184" s="9" t="str">
        <f>IF(G184="","",VLOOKUP(G184,业务功能_系统接口!$B$6:$H$1416,2,FALSE))</f>
        <v/>
      </c>
      <c r="I184" s="9" t="str">
        <f>IF(G184="","",VLOOKUP(G184,业务功能_系统接口!$B$6:$H$1416,3,FALSE))</f>
        <v/>
      </c>
      <c r="J184" s="9" t="str">
        <f>IF(G184="","",VLOOKUP(G184,业务功能_系统接口!$B$6:$H$1416,4,FALSE))</f>
        <v/>
      </c>
    </row>
    <row r="185" spans="3:10">
      <c r="C185" s="8"/>
      <c r="H185" s="9" t="str">
        <f>IF(G185="","",VLOOKUP(G185,业务功能_系统接口!$B$6:$H$1416,2,FALSE))</f>
        <v/>
      </c>
      <c r="I185" s="9" t="str">
        <f>IF(G185="","",VLOOKUP(G185,业务功能_系统接口!$B$6:$H$1416,3,FALSE))</f>
        <v/>
      </c>
      <c r="J185" s="9" t="str">
        <f>IF(G185="","",VLOOKUP(G185,业务功能_系统接口!$B$6:$H$1416,4,FALSE))</f>
        <v/>
      </c>
    </row>
    <row r="186" spans="3:10">
      <c r="C186" s="8"/>
      <c r="H186" s="9" t="str">
        <f>IF(G186="","",VLOOKUP(G186,业务功能_系统接口!$B$6:$H$1416,2,FALSE))</f>
        <v/>
      </c>
      <c r="I186" s="9" t="str">
        <f>IF(G186="","",VLOOKUP(G186,业务功能_系统接口!$B$6:$H$1416,3,FALSE))</f>
        <v/>
      </c>
      <c r="J186" s="9" t="str">
        <f>IF(G186="","",VLOOKUP(G186,业务功能_系统接口!$B$6:$H$1416,4,FALSE))</f>
        <v/>
      </c>
    </row>
    <row r="187" spans="3:10">
      <c r="C187" s="8"/>
      <c r="H187" s="9" t="str">
        <f>IF(G187="","",VLOOKUP(G187,业务功能_系统接口!$B$6:$H$1416,2,FALSE))</f>
        <v/>
      </c>
      <c r="I187" s="9" t="str">
        <f>IF(G187="","",VLOOKUP(G187,业务功能_系统接口!$B$6:$H$1416,3,FALSE))</f>
        <v/>
      </c>
      <c r="J187" s="9" t="str">
        <f>IF(G187="","",VLOOKUP(G187,业务功能_系统接口!$B$6:$H$1416,4,FALSE))</f>
        <v/>
      </c>
    </row>
    <row r="188" spans="3:10">
      <c r="C188" s="8"/>
      <c r="H188" s="9" t="str">
        <f>IF(G188="","",VLOOKUP(G188,业务功能_系统接口!$B$6:$H$1416,2,FALSE))</f>
        <v/>
      </c>
      <c r="I188" s="9" t="str">
        <f>IF(G188="","",VLOOKUP(G188,业务功能_系统接口!$B$6:$H$1416,3,FALSE))</f>
        <v/>
      </c>
      <c r="J188" s="9" t="str">
        <f>IF(G188="","",VLOOKUP(G188,业务功能_系统接口!$B$6:$H$1416,4,FALSE))</f>
        <v/>
      </c>
    </row>
    <row r="189" spans="3:10">
      <c r="C189" s="8"/>
      <c r="H189" s="9" t="str">
        <f>IF(G189="","",VLOOKUP(G189,业务功能_系统接口!$B$6:$H$1416,2,FALSE))</f>
        <v/>
      </c>
      <c r="I189" s="9" t="str">
        <f>IF(G189="","",VLOOKUP(G189,业务功能_系统接口!$B$6:$H$1416,3,FALSE))</f>
        <v/>
      </c>
      <c r="J189" s="9" t="str">
        <f>IF(G189="","",VLOOKUP(G189,业务功能_系统接口!$B$6:$H$1416,4,FALSE))</f>
        <v/>
      </c>
    </row>
    <row r="190" spans="3:10">
      <c r="C190" s="8"/>
      <c r="H190" s="9" t="str">
        <f>IF(G190="","",VLOOKUP(G190,业务功能_系统接口!$B$6:$H$1416,2,FALSE))</f>
        <v/>
      </c>
      <c r="I190" s="9" t="str">
        <f>IF(G190="","",VLOOKUP(G190,业务功能_系统接口!$B$6:$H$1416,3,FALSE))</f>
        <v/>
      </c>
      <c r="J190" s="9" t="str">
        <f>IF(G190="","",VLOOKUP(G190,业务功能_系统接口!$B$6:$H$1416,4,FALSE))</f>
        <v/>
      </c>
    </row>
    <row r="191" spans="3:10">
      <c r="C191" s="8"/>
      <c r="H191" s="9" t="str">
        <f>IF(G191="","",VLOOKUP(G191,业务功能_系统接口!$B$6:$H$1416,2,FALSE))</f>
        <v/>
      </c>
      <c r="I191" s="9" t="str">
        <f>IF(G191="","",VLOOKUP(G191,业务功能_系统接口!$B$6:$H$1416,3,FALSE))</f>
        <v/>
      </c>
      <c r="J191" s="9" t="str">
        <f>IF(G191="","",VLOOKUP(G191,业务功能_系统接口!$B$6:$H$1416,4,FALSE))</f>
        <v/>
      </c>
    </row>
    <row r="192" spans="3:10">
      <c r="C192" s="8"/>
      <c r="H192" s="9" t="str">
        <f>IF(G192="","",VLOOKUP(G192,业务功能_系统接口!$B$6:$H$1416,2,FALSE))</f>
        <v/>
      </c>
      <c r="I192" s="9" t="str">
        <f>IF(G192="","",VLOOKUP(G192,业务功能_系统接口!$B$6:$H$1416,3,FALSE))</f>
        <v/>
      </c>
      <c r="J192" s="9" t="str">
        <f>IF(G192="","",VLOOKUP(G192,业务功能_系统接口!$B$6:$H$1416,4,FALSE))</f>
        <v/>
      </c>
    </row>
    <row r="193" spans="3:10">
      <c r="C193" s="8"/>
      <c r="H193" s="9" t="str">
        <f>IF(G193="","",VLOOKUP(G193,业务功能_系统接口!$B$6:$H$1416,2,FALSE))</f>
        <v/>
      </c>
      <c r="I193" s="9" t="str">
        <f>IF(G193="","",VLOOKUP(G193,业务功能_系统接口!$B$6:$H$1416,3,FALSE))</f>
        <v/>
      </c>
      <c r="J193" s="9" t="str">
        <f>IF(G193="","",VLOOKUP(G193,业务功能_系统接口!$B$6:$H$1416,4,FALSE))</f>
        <v/>
      </c>
    </row>
    <row r="194" spans="3:10">
      <c r="C194" s="8"/>
      <c r="H194" s="9" t="str">
        <f>IF(G194="","",VLOOKUP(G194,业务功能_系统接口!$B$6:$H$1416,2,FALSE))</f>
        <v/>
      </c>
      <c r="I194" s="9" t="str">
        <f>IF(G194="","",VLOOKUP(G194,业务功能_系统接口!$B$6:$H$1416,3,FALSE))</f>
        <v/>
      </c>
      <c r="J194" s="9" t="str">
        <f>IF(G194="","",VLOOKUP(G194,业务功能_系统接口!$B$6:$H$1416,4,FALSE))</f>
        <v/>
      </c>
    </row>
    <row r="195" spans="3:10">
      <c r="C195" s="8"/>
      <c r="H195" s="9" t="str">
        <f>IF(G195="","",VLOOKUP(G195,业务功能_系统接口!$B$6:$H$1416,2,FALSE))</f>
        <v/>
      </c>
      <c r="I195" s="9" t="str">
        <f>IF(G195="","",VLOOKUP(G195,业务功能_系统接口!$B$6:$H$1416,3,FALSE))</f>
        <v/>
      </c>
      <c r="J195" s="9" t="str">
        <f>IF(G195="","",VLOOKUP(G195,业务功能_系统接口!$B$6:$H$1416,4,FALSE))</f>
        <v/>
      </c>
    </row>
    <row r="196" spans="3:10">
      <c r="C196" s="8"/>
      <c r="H196" s="9" t="str">
        <f>IF(G196="","",VLOOKUP(G196,业务功能_系统接口!$B$6:$H$1416,2,FALSE))</f>
        <v/>
      </c>
      <c r="I196" s="9" t="str">
        <f>IF(G196="","",VLOOKUP(G196,业务功能_系统接口!$B$6:$H$1416,3,FALSE))</f>
        <v/>
      </c>
      <c r="J196" s="9" t="str">
        <f>IF(G196="","",VLOOKUP(G196,业务功能_系统接口!$B$6:$H$1416,4,FALSE))</f>
        <v/>
      </c>
    </row>
    <row r="197" spans="3:10">
      <c r="C197" s="8"/>
      <c r="H197" s="9" t="str">
        <f>IF(G197="","",VLOOKUP(G197,业务功能_系统接口!$B$6:$H$1416,2,FALSE))</f>
        <v/>
      </c>
      <c r="I197" s="9" t="str">
        <f>IF(G197="","",VLOOKUP(G197,业务功能_系统接口!$B$6:$H$1416,3,FALSE))</f>
        <v/>
      </c>
      <c r="J197" s="9" t="str">
        <f>IF(G197="","",VLOOKUP(G197,业务功能_系统接口!$B$6:$H$1416,4,FALSE))</f>
        <v/>
      </c>
    </row>
    <row r="198" spans="3:10">
      <c r="C198" s="8"/>
      <c r="H198" s="9" t="str">
        <f>IF(G198="","",VLOOKUP(G198,业务功能_系统接口!$B$6:$H$1416,2,FALSE))</f>
        <v/>
      </c>
      <c r="I198" s="9" t="str">
        <f>IF(G198="","",VLOOKUP(G198,业务功能_系统接口!$B$6:$H$1416,3,FALSE))</f>
        <v/>
      </c>
      <c r="J198" s="9" t="str">
        <f>IF(G198="","",VLOOKUP(G198,业务功能_系统接口!$B$6:$H$1416,4,FALSE))</f>
        <v/>
      </c>
    </row>
    <row r="199" spans="3:10">
      <c r="C199" s="8"/>
      <c r="H199" s="9" t="str">
        <f>IF(G199="","",VLOOKUP(G199,业务功能_系统接口!$B$6:$H$1416,2,FALSE))</f>
        <v/>
      </c>
      <c r="I199" s="9" t="str">
        <f>IF(G199="","",VLOOKUP(G199,业务功能_系统接口!$B$6:$H$1416,3,FALSE))</f>
        <v/>
      </c>
      <c r="J199" s="9" t="str">
        <f>IF(G199="","",VLOOKUP(G199,业务功能_系统接口!$B$6:$H$1416,4,FALSE))</f>
        <v/>
      </c>
    </row>
    <row r="200" spans="3:10">
      <c r="C200" s="8"/>
      <c r="H200" s="9" t="str">
        <f>IF(G200="","",VLOOKUP(G200,业务功能_系统接口!$B$6:$H$1416,2,FALSE))</f>
        <v/>
      </c>
      <c r="I200" s="9" t="str">
        <f>IF(G200="","",VLOOKUP(G200,业务功能_系统接口!$B$6:$H$1416,3,FALSE))</f>
        <v/>
      </c>
      <c r="J200" s="9" t="str">
        <f>IF(G200="","",VLOOKUP(G200,业务功能_系统接口!$B$6:$H$1416,4,FALSE))</f>
        <v/>
      </c>
    </row>
    <row r="201" spans="3:10">
      <c r="C201" s="8"/>
      <c r="H201" s="9" t="str">
        <f>IF(G201="","",VLOOKUP(G201,业务功能_系统接口!$B$6:$H$1416,2,FALSE))</f>
        <v/>
      </c>
      <c r="I201" s="9" t="str">
        <f>IF(G201="","",VLOOKUP(G201,业务功能_系统接口!$B$6:$H$1416,3,FALSE))</f>
        <v/>
      </c>
      <c r="J201" s="9" t="str">
        <f>IF(G201="","",VLOOKUP(G201,业务功能_系统接口!$B$6:$H$1416,4,FALSE))</f>
        <v/>
      </c>
    </row>
    <row r="202" spans="3:10">
      <c r="C202" s="8"/>
      <c r="H202" s="9" t="str">
        <f>IF(G202="","",VLOOKUP(G202,业务功能_系统接口!$B$6:$H$1416,2,FALSE))</f>
        <v/>
      </c>
      <c r="I202" s="9" t="str">
        <f>IF(G202="","",VLOOKUP(G202,业务功能_系统接口!$B$6:$H$1416,3,FALSE))</f>
        <v/>
      </c>
      <c r="J202" s="9" t="str">
        <f>IF(G202="","",VLOOKUP(G202,业务功能_系统接口!$B$6:$H$1416,4,FALSE))</f>
        <v/>
      </c>
    </row>
    <row r="203" spans="3:10">
      <c r="C203" s="8"/>
      <c r="H203" s="9" t="str">
        <f>IF(G203="","",VLOOKUP(G203,业务功能_系统接口!$B$6:$H$1416,2,FALSE))</f>
        <v/>
      </c>
      <c r="I203" s="9" t="str">
        <f>IF(G203="","",VLOOKUP(G203,业务功能_系统接口!$B$6:$H$1416,3,FALSE))</f>
        <v/>
      </c>
      <c r="J203" s="9" t="str">
        <f>IF(G203="","",VLOOKUP(G203,业务功能_系统接口!$B$6:$H$1416,4,FALSE))</f>
        <v/>
      </c>
    </row>
    <row r="204" spans="3:10">
      <c r="C204" s="8"/>
      <c r="H204" s="9" t="str">
        <f>IF(G204="","",VLOOKUP(G204,业务功能_系统接口!$B$6:$H$1416,2,FALSE))</f>
        <v/>
      </c>
      <c r="I204" s="9" t="str">
        <f>IF(G204="","",VLOOKUP(G204,业务功能_系统接口!$B$6:$H$1416,3,FALSE))</f>
        <v/>
      </c>
      <c r="J204" s="9" t="str">
        <f>IF(G204="","",VLOOKUP(G204,业务功能_系统接口!$B$6:$H$1416,4,FALSE))</f>
        <v/>
      </c>
    </row>
    <row r="205" spans="3:10">
      <c r="C205" s="8"/>
      <c r="H205" s="9" t="str">
        <f>IF(G205="","",VLOOKUP(G205,业务功能_系统接口!$B$6:$H$1416,2,FALSE))</f>
        <v/>
      </c>
      <c r="I205" s="9" t="str">
        <f>IF(G205="","",VLOOKUP(G205,业务功能_系统接口!$B$6:$H$1416,3,FALSE))</f>
        <v/>
      </c>
      <c r="J205" s="9" t="str">
        <f>IF(G205="","",VLOOKUP(G205,业务功能_系统接口!$B$6:$H$1416,4,FALSE))</f>
        <v/>
      </c>
    </row>
    <row r="206" spans="3:10">
      <c r="C206" s="8"/>
      <c r="H206" s="9" t="str">
        <f>IF(G206="","",VLOOKUP(G206,业务功能_系统接口!$B$6:$H$1416,2,FALSE))</f>
        <v/>
      </c>
      <c r="I206" s="9" t="str">
        <f>IF(G206="","",VLOOKUP(G206,业务功能_系统接口!$B$6:$H$1416,3,FALSE))</f>
        <v/>
      </c>
      <c r="J206" s="9" t="str">
        <f>IF(G206="","",VLOOKUP(G206,业务功能_系统接口!$B$6:$H$1416,4,FALSE))</f>
        <v/>
      </c>
    </row>
    <row r="207" spans="3:10">
      <c r="C207" s="8"/>
      <c r="H207" s="9" t="str">
        <f>IF(G207="","",VLOOKUP(G207,业务功能_系统接口!$B$6:$H$1416,2,FALSE))</f>
        <v/>
      </c>
      <c r="I207" s="9" t="str">
        <f>IF(G207="","",VLOOKUP(G207,业务功能_系统接口!$B$6:$H$1416,3,FALSE))</f>
        <v/>
      </c>
      <c r="J207" s="9" t="str">
        <f>IF(G207="","",VLOOKUP(G207,业务功能_系统接口!$B$6:$H$1416,4,FALSE))</f>
        <v/>
      </c>
    </row>
    <row r="208" spans="3:10">
      <c r="C208" s="8"/>
      <c r="H208" s="9" t="str">
        <f>IF(G208="","",VLOOKUP(G208,业务功能_系统接口!$B$6:$H$1416,2,FALSE))</f>
        <v/>
      </c>
      <c r="I208" s="9" t="str">
        <f>IF(G208="","",VLOOKUP(G208,业务功能_系统接口!$B$6:$H$1416,3,FALSE))</f>
        <v/>
      </c>
      <c r="J208" s="9" t="str">
        <f>IF(G208="","",VLOOKUP(G208,业务功能_系统接口!$B$6:$H$1416,4,FALSE))</f>
        <v/>
      </c>
    </row>
    <row r="209" spans="3:10">
      <c r="C209" s="8"/>
      <c r="H209" s="9" t="str">
        <f>IF(G209="","",VLOOKUP(G209,业务功能_系统接口!$B$6:$H$1416,2,FALSE))</f>
        <v/>
      </c>
      <c r="I209" s="9" t="str">
        <f>IF(G209="","",VLOOKUP(G209,业务功能_系统接口!$B$6:$H$1416,3,FALSE))</f>
        <v/>
      </c>
      <c r="J209" s="9" t="str">
        <f>IF(G209="","",VLOOKUP(G209,业务功能_系统接口!$B$6:$H$1416,4,FALSE))</f>
        <v/>
      </c>
    </row>
    <row r="210" spans="3:10">
      <c r="C210" s="8"/>
      <c r="H210" s="9" t="str">
        <f>IF(G210="","",VLOOKUP(G210,业务功能_系统接口!$B$6:$H$1416,2,FALSE))</f>
        <v/>
      </c>
      <c r="I210" s="9" t="str">
        <f>IF(G210="","",VLOOKUP(G210,业务功能_系统接口!$B$6:$H$1416,3,FALSE))</f>
        <v/>
      </c>
      <c r="J210" s="9" t="str">
        <f>IF(G210="","",VLOOKUP(G210,业务功能_系统接口!$B$6:$H$1416,4,FALSE))</f>
        <v/>
      </c>
    </row>
    <row r="211" spans="3:10">
      <c r="C211" s="8"/>
      <c r="H211" s="9" t="str">
        <f>IF(G211="","",VLOOKUP(G211,业务功能_系统接口!$B$6:$H$1416,2,FALSE))</f>
        <v/>
      </c>
      <c r="I211" s="9" t="str">
        <f>IF(G211="","",VLOOKUP(G211,业务功能_系统接口!$B$6:$H$1416,3,FALSE))</f>
        <v/>
      </c>
      <c r="J211" s="9" t="str">
        <f>IF(G211="","",VLOOKUP(G211,业务功能_系统接口!$B$6:$H$1416,4,FALSE))</f>
        <v/>
      </c>
    </row>
    <row r="212" spans="3:10">
      <c r="C212" s="8"/>
      <c r="H212" s="9" t="str">
        <f>IF(G212="","",VLOOKUP(G212,业务功能_系统接口!$B$6:$H$1416,2,FALSE))</f>
        <v/>
      </c>
      <c r="I212" s="9" t="str">
        <f>IF(G212="","",VLOOKUP(G212,业务功能_系统接口!$B$6:$H$1416,3,FALSE))</f>
        <v/>
      </c>
      <c r="J212" s="9" t="str">
        <f>IF(G212="","",VLOOKUP(G212,业务功能_系统接口!$B$6:$H$1416,4,FALSE))</f>
        <v/>
      </c>
    </row>
    <row r="213" spans="3:10">
      <c r="C213" s="8"/>
      <c r="H213" s="9" t="str">
        <f>IF(G213="","",VLOOKUP(G213,业务功能_系统接口!$B$6:$H$1416,2,FALSE))</f>
        <v/>
      </c>
      <c r="I213" s="9" t="str">
        <f>IF(G213="","",VLOOKUP(G213,业务功能_系统接口!$B$6:$H$1416,3,FALSE))</f>
        <v/>
      </c>
      <c r="J213" s="9" t="str">
        <f>IF(G213="","",VLOOKUP(G213,业务功能_系统接口!$B$6:$H$1416,4,FALSE))</f>
        <v/>
      </c>
    </row>
    <row r="214" spans="3:10">
      <c r="C214" s="8"/>
      <c r="H214" s="9" t="str">
        <f>IF(G214="","",VLOOKUP(G214,业务功能_系统接口!$B$6:$H$1416,2,FALSE))</f>
        <v/>
      </c>
      <c r="I214" s="9" t="str">
        <f>IF(G214="","",VLOOKUP(G214,业务功能_系统接口!$B$6:$H$1416,3,FALSE))</f>
        <v/>
      </c>
      <c r="J214" s="9" t="str">
        <f>IF(G214="","",VLOOKUP(G214,业务功能_系统接口!$B$6:$H$1416,4,FALSE))</f>
        <v/>
      </c>
    </row>
    <row r="215" spans="3:10">
      <c r="C215" s="8"/>
      <c r="H215" s="9" t="str">
        <f>IF(G215="","",VLOOKUP(G215,业务功能_系统接口!$B$6:$H$1416,2,FALSE))</f>
        <v/>
      </c>
      <c r="I215" s="9" t="str">
        <f>IF(G215="","",VLOOKUP(G215,业务功能_系统接口!$B$6:$H$1416,3,FALSE))</f>
        <v/>
      </c>
      <c r="J215" s="9" t="str">
        <f>IF(G215="","",VLOOKUP(G215,业务功能_系统接口!$B$6:$H$1416,4,FALSE))</f>
        <v/>
      </c>
    </row>
    <row r="216" spans="3:10">
      <c r="C216" s="8"/>
      <c r="H216" s="9" t="str">
        <f>IF(G216="","",VLOOKUP(G216,业务功能_系统接口!$B$6:$H$1416,2,FALSE))</f>
        <v/>
      </c>
      <c r="I216" s="9" t="str">
        <f>IF(G216="","",VLOOKUP(G216,业务功能_系统接口!$B$6:$H$1416,3,FALSE))</f>
        <v/>
      </c>
      <c r="J216" s="9" t="str">
        <f>IF(G216="","",VLOOKUP(G216,业务功能_系统接口!$B$6:$H$1416,4,FALSE))</f>
        <v/>
      </c>
    </row>
    <row r="217" spans="3:10">
      <c r="C217" s="8"/>
      <c r="H217" s="9" t="str">
        <f>IF(G217="","",VLOOKUP(G217,业务功能_系统接口!$B$6:$H$1416,2,FALSE))</f>
        <v/>
      </c>
      <c r="I217" s="9" t="str">
        <f>IF(G217="","",VLOOKUP(G217,业务功能_系统接口!$B$6:$H$1416,3,FALSE))</f>
        <v/>
      </c>
      <c r="J217" s="9" t="str">
        <f>IF(G217="","",VLOOKUP(G217,业务功能_系统接口!$B$6:$H$1416,4,FALSE))</f>
        <v/>
      </c>
    </row>
    <row r="218" spans="3:10">
      <c r="C218" s="8"/>
      <c r="H218" s="9" t="str">
        <f>IF(G218="","",VLOOKUP(G218,业务功能_系统接口!$B$6:$H$1416,2,FALSE))</f>
        <v/>
      </c>
      <c r="I218" s="9" t="str">
        <f>IF(G218="","",VLOOKUP(G218,业务功能_系统接口!$B$6:$H$1416,3,FALSE))</f>
        <v/>
      </c>
      <c r="J218" s="9" t="str">
        <f>IF(G218="","",VLOOKUP(G218,业务功能_系统接口!$B$6:$H$1416,4,FALSE))</f>
        <v/>
      </c>
    </row>
    <row r="219" spans="3:10">
      <c r="C219" s="8"/>
      <c r="H219" s="9" t="str">
        <f>IF(G219="","",VLOOKUP(G219,业务功能_系统接口!$B$6:$H$1416,2,FALSE))</f>
        <v/>
      </c>
      <c r="I219" s="9" t="str">
        <f>IF(G219="","",VLOOKUP(G219,业务功能_系统接口!$B$6:$H$1416,3,FALSE))</f>
        <v/>
      </c>
      <c r="J219" s="9" t="str">
        <f>IF(G219="","",VLOOKUP(G219,业务功能_系统接口!$B$6:$H$1416,4,FALSE))</f>
        <v/>
      </c>
    </row>
    <row r="220" spans="3:10">
      <c r="C220" s="8"/>
      <c r="H220" s="9" t="str">
        <f>IF(G220="","",VLOOKUP(G220,业务功能_系统接口!$B$6:$H$1416,2,FALSE))</f>
        <v/>
      </c>
      <c r="I220" s="9" t="str">
        <f>IF(G220="","",VLOOKUP(G220,业务功能_系统接口!$B$6:$H$1416,3,FALSE))</f>
        <v/>
      </c>
      <c r="J220" s="9" t="str">
        <f>IF(G220="","",VLOOKUP(G220,业务功能_系统接口!$B$6:$H$1416,4,FALSE))</f>
        <v/>
      </c>
    </row>
    <row r="221" spans="3:10">
      <c r="C221" s="8"/>
      <c r="H221" s="9" t="str">
        <f>IF(G221="","",VLOOKUP(G221,业务功能_系统接口!$B$6:$H$1416,2,FALSE))</f>
        <v/>
      </c>
      <c r="I221" s="9" t="str">
        <f>IF(G221="","",VLOOKUP(G221,业务功能_系统接口!$B$6:$H$1416,3,FALSE))</f>
        <v/>
      </c>
      <c r="J221" s="9" t="str">
        <f>IF(G221="","",VLOOKUP(G221,业务功能_系统接口!$B$6:$H$1416,4,FALSE))</f>
        <v/>
      </c>
    </row>
    <row r="222" spans="3:10">
      <c r="C222" s="8"/>
      <c r="H222" s="9" t="str">
        <f>IF(G222="","",VLOOKUP(G222,业务功能_系统接口!$B$6:$H$1416,2,FALSE))</f>
        <v/>
      </c>
      <c r="I222" s="9" t="str">
        <f>IF(G222="","",VLOOKUP(G222,业务功能_系统接口!$B$6:$H$1416,3,FALSE))</f>
        <v/>
      </c>
      <c r="J222" s="9" t="str">
        <f>IF(G222="","",VLOOKUP(G222,业务功能_系统接口!$B$6:$H$1416,4,FALSE))</f>
        <v/>
      </c>
    </row>
    <row r="223" spans="3:10">
      <c r="C223" s="8"/>
      <c r="H223" s="9" t="str">
        <f>IF(G223="","",VLOOKUP(G223,业务功能_系统接口!$B$6:$H$1416,2,FALSE))</f>
        <v/>
      </c>
      <c r="I223" s="9" t="str">
        <f>IF(G223="","",VLOOKUP(G223,业务功能_系统接口!$B$6:$H$1416,3,FALSE))</f>
        <v/>
      </c>
      <c r="J223" s="9" t="str">
        <f>IF(G223="","",VLOOKUP(G223,业务功能_系统接口!$B$6:$H$1416,4,FALSE))</f>
        <v/>
      </c>
    </row>
    <row r="224" spans="3:10">
      <c r="C224" s="8"/>
      <c r="H224" s="9" t="str">
        <f>IF(G224="","",VLOOKUP(G224,业务功能_系统接口!$B$6:$H$1416,2,FALSE))</f>
        <v/>
      </c>
      <c r="I224" s="9" t="str">
        <f>IF(G224="","",VLOOKUP(G224,业务功能_系统接口!$B$6:$H$1416,3,FALSE))</f>
        <v/>
      </c>
      <c r="J224" s="9" t="str">
        <f>IF(G224="","",VLOOKUP(G224,业务功能_系统接口!$B$6:$H$1416,4,FALSE))</f>
        <v/>
      </c>
    </row>
    <row r="225" spans="3:10">
      <c r="C225" s="8"/>
      <c r="H225" s="9" t="str">
        <f>IF(G225="","",VLOOKUP(G225,业务功能_系统接口!$B$6:$H$1416,2,FALSE))</f>
        <v/>
      </c>
      <c r="I225" s="9" t="str">
        <f>IF(G225="","",VLOOKUP(G225,业务功能_系统接口!$B$6:$H$1416,3,FALSE))</f>
        <v/>
      </c>
      <c r="J225" s="9" t="str">
        <f>IF(G225="","",VLOOKUP(G225,业务功能_系统接口!$B$6:$H$1416,4,FALSE))</f>
        <v/>
      </c>
    </row>
    <row r="226" spans="3:10">
      <c r="C226" s="8"/>
      <c r="H226" s="9" t="str">
        <f>IF(G226="","",VLOOKUP(G226,业务功能_系统接口!$B$6:$H$1416,2,FALSE))</f>
        <v/>
      </c>
      <c r="I226" s="9" t="str">
        <f>IF(G226="","",VLOOKUP(G226,业务功能_系统接口!$B$6:$H$1416,3,FALSE))</f>
        <v/>
      </c>
      <c r="J226" s="9" t="str">
        <f>IF(G226="","",VLOOKUP(G226,业务功能_系统接口!$B$6:$H$1416,4,FALSE))</f>
        <v/>
      </c>
    </row>
    <row r="227" spans="3:10">
      <c r="C227" s="8"/>
      <c r="H227" s="9" t="str">
        <f>IF(G227="","",VLOOKUP(G227,业务功能_系统接口!$B$6:$H$1416,2,FALSE))</f>
        <v/>
      </c>
      <c r="I227" s="9" t="str">
        <f>IF(G227="","",VLOOKUP(G227,业务功能_系统接口!$B$6:$H$1416,3,FALSE))</f>
        <v/>
      </c>
      <c r="J227" s="9" t="str">
        <f>IF(G227="","",VLOOKUP(G227,业务功能_系统接口!$B$6:$H$1416,4,FALSE))</f>
        <v/>
      </c>
    </row>
    <row r="228" spans="3:10">
      <c r="C228" s="8"/>
      <c r="H228" s="9" t="str">
        <f>IF(G228="","",VLOOKUP(G228,业务功能_系统接口!$B$6:$H$1416,2,FALSE))</f>
        <v/>
      </c>
      <c r="I228" s="9" t="str">
        <f>IF(G228="","",VLOOKUP(G228,业务功能_系统接口!$B$6:$H$1416,3,FALSE))</f>
        <v/>
      </c>
      <c r="J228" s="9" t="str">
        <f>IF(G228="","",VLOOKUP(G228,业务功能_系统接口!$B$6:$H$1416,4,FALSE))</f>
        <v/>
      </c>
    </row>
    <row r="229" spans="3:10">
      <c r="C229" s="8"/>
      <c r="H229" s="9" t="str">
        <f>IF(G229="","",VLOOKUP(G229,业务功能_系统接口!$B$6:$H$1416,2,FALSE))</f>
        <v/>
      </c>
      <c r="I229" s="9" t="str">
        <f>IF(G229="","",VLOOKUP(G229,业务功能_系统接口!$B$6:$H$1416,3,FALSE))</f>
        <v/>
      </c>
      <c r="J229" s="9" t="str">
        <f>IF(G229="","",VLOOKUP(G229,业务功能_系统接口!$B$6:$H$1416,4,FALSE))</f>
        <v/>
      </c>
    </row>
    <row r="230" spans="3:10">
      <c r="C230" s="8"/>
      <c r="H230" s="9" t="str">
        <f>IF(G230="","",VLOOKUP(G230,业务功能_系统接口!$B$6:$H$1416,2,FALSE))</f>
        <v/>
      </c>
      <c r="I230" s="9" t="str">
        <f>IF(G230="","",VLOOKUP(G230,业务功能_系统接口!$B$6:$H$1416,3,FALSE))</f>
        <v/>
      </c>
      <c r="J230" s="9" t="str">
        <f>IF(G230="","",VLOOKUP(G230,业务功能_系统接口!$B$6:$H$1416,4,FALSE))</f>
        <v/>
      </c>
    </row>
    <row r="231" spans="3:10">
      <c r="C231" s="8"/>
      <c r="H231" s="9" t="str">
        <f>IF(G231="","",VLOOKUP(G231,业务功能_系统接口!$B$6:$H$1416,2,FALSE))</f>
        <v/>
      </c>
      <c r="I231" s="9" t="str">
        <f>IF(G231="","",VLOOKUP(G231,业务功能_系统接口!$B$6:$H$1416,3,FALSE))</f>
        <v/>
      </c>
      <c r="J231" s="9" t="str">
        <f>IF(G231="","",VLOOKUP(G231,业务功能_系统接口!$B$6:$H$1416,4,FALSE))</f>
        <v/>
      </c>
    </row>
    <row r="232" spans="3:10">
      <c r="C232" s="8"/>
      <c r="H232" s="9" t="str">
        <f>IF(G232="","",VLOOKUP(G232,业务功能_系统接口!$B$6:$H$1416,2,FALSE))</f>
        <v/>
      </c>
      <c r="I232" s="9" t="str">
        <f>IF(G232="","",VLOOKUP(G232,业务功能_系统接口!$B$6:$H$1416,3,FALSE))</f>
        <v/>
      </c>
      <c r="J232" s="9" t="str">
        <f>IF(G232="","",VLOOKUP(G232,业务功能_系统接口!$B$6:$H$1416,4,FALSE))</f>
        <v/>
      </c>
    </row>
    <row r="233" spans="3:10">
      <c r="C233" s="8"/>
      <c r="H233" s="9" t="str">
        <f>IF(G233="","",VLOOKUP(G233,业务功能_系统接口!$B$6:$H$1416,2,FALSE))</f>
        <v/>
      </c>
      <c r="I233" s="9" t="str">
        <f>IF(G233="","",VLOOKUP(G233,业务功能_系统接口!$B$6:$H$1416,3,FALSE))</f>
        <v/>
      </c>
      <c r="J233" s="9" t="str">
        <f>IF(G233="","",VLOOKUP(G233,业务功能_系统接口!$B$6:$H$1416,4,FALSE))</f>
        <v/>
      </c>
    </row>
    <row r="234" spans="3:10">
      <c r="C234" s="8"/>
      <c r="H234" s="9" t="str">
        <f>IF(G234="","",VLOOKUP(G234,业务功能_系统接口!$B$6:$H$1416,2,FALSE))</f>
        <v/>
      </c>
      <c r="I234" s="9" t="str">
        <f>IF(G234="","",VLOOKUP(G234,业务功能_系统接口!$B$6:$H$1416,3,FALSE))</f>
        <v/>
      </c>
      <c r="J234" s="9" t="str">
        <f>IF(G234="","",VLOOKUP(G234,业务功能_系统接口!$B$6:$H$1416,4,FALSE))</f>
        <v/>
      </c>
    </row>
    <row r="235" spans="3:10">
      <c r="C235" s="8"/>
      <c r="H235" s="9" t="str">
        <f>IF(G235="","",VLOOKUP(G235,业务功能_系统接口!$B$6:$H$1416,2,FALSE))</f>
        <v/>
      </c>
      <c r="I235" s="9" t="str">
        <f>IF(G235="","",VLOOKUP(G235,业务功能_系统接口!$B$6:$H$1416,3,FALSE))</f>
        <v/>
      </c>
      <c r="J235" s="9" t="str">
        <f>IF(G235="","",VLOOKUP(G235,业务功能_系统接口!$B$6:$H$1416,4,FALSE))</f>
        <v/>
      </c>
    </row>
    <row r="236" spans="3:10">
      <c r="C236" s="8"/>
      <c r="H236" s="9" t="str">
        <f>IF(G236="","",VLOOKUP(G236,业务功能_系统接口!$B$6:$H$1416,2,FALSE))</f>
        <v/>
      </c>
      <c r="I236" s="9" t="str">
        <f>IF(G236="","",VLOOKUP(G236,业务功能_系统接口!$B$6:$H$1416,3,FALSE))</f>
        <v/>
      </c>
      <c r="J236" s="9" t="str">
        <f>IF(G236="","",VLOOKUP(G236,业务功能_系统接口!$B$6:$H$1416,4,FALSE))</f>
        <v/>
      </c>
    </row>
    <row r="237" spans="3:10">
      <c r="C237" s="8"/>
      <c r="H237" s="9" t="str">
        <f>IF(G237="","",VLOOKUP(G237,业务功能_系统接口!$B$6:$H$1416,2,FALSE))</f>
        <v/>
      </c>
      <c r="I237" s="9" t="str">
        <f>IF(G237="","",VLOOKUP(G237,业务功能_系统接口!$B$6:$H$1416,3,FALSE))</f>
        <v/>
      </c>
      <c r="J237" s="9" t="str">
        <f>IF(G237="","",VLOOKUP(G237,业务功能_系统接口!$B$6:$H$1416,4,FALSE))</f>
        <v/>
      </c>
    </row>
    <row r="238" spans="3:10">
      <c r="C238" s="8"/>
      <c r="H238" s="9" t="str">
        <f>IF(G238="","",VLOOKUP(G238,业务功能_系统接口!$B$6:$H$1416,2,FALSE))</f>
        <v/>
      </c>
      <c r="I238" s="9" t="str">
        <f>IF(G238="","",VLOOKUP(G238,业务功能_系统接口!$B$6:$H$1416,3,FALSE))</f>
        <v/>
      </c>
      <c r="J238" s="9" t="str">
        <f>IF(G238="","",VLOOKUP(G238,业务功能_系统接口!$B$6:$H$1416,4,FALSE))</f>
        <v/>
      </c>
    </row>
    <row r="239" spans="3:10">
      <c r="C239" s="8"/>
      <c r="H239" s="9" t="str">
        <f>IF(G239="","",VLOOKUP(G239,业务功能_系统接口!$B$6:$H$1416,2,FALSE))</f>
        <v/>
      </c>
      <c r="I239" s="9" t="str">
        <f>IF(G239="","",VLOOKUP(G239,业务功能_系统接口!$B$6:$H$1416,3,FALSE))</f>
        <v/>
      </c>
      <c r="J239" s="9" t="str">
        <f>IF(G239="","",VLOOKUP(G239,业务功能_系统接口!$B$6:$H$1416,4,FALSE))</f>
        <v/>
      </c>
    </row>
    <row r="240" spans="3:10">
      <c r="C240" s="8"/>
      <c r="H240" s="9" t="str">
        <f>IF(G240="","",VLOOKUP(G240,业务功能_系统接口!$B$6:$H$1416,2,FALSE))</f>
        <v/>
      </c>
      <c r="I240" s="9" t="str">
        <f>IF(G240="","",VLOOKUP(G240,业务功能_系统接口!$B$6:$H$1416,3,FALSE))</f>
        <v/>
      </c>
      <c r="J240" s="9" t="str">
        <f>IF(G240="","",VLOOKUP(G240,业务功能_系统接口!$B$6:$H$1416,4,FALSE))</f>
        <v/>
      </c>
    </row>
    <row r="241" spans="3:10">
      <c r="C241" s="8"/>
      <c r="H241" s="9" t="str">
        <f>IF(G241="","",VLOOKUP(G241,业务功能_系统接口!$B$6:$H$1416,2,FALSE))</f>
        <v/>
      </c>
      <c r="I241" s="9" t="str">
        <f>IF(G241="","",VLOOKUP(G241,业务功能_系统接口!$B$6:$H$1416,3,FALSE))</f>
        <v/>
      </c>
      <c r="J241" s="9" t="str">
        <f>IF(G241="","",VLOOKUP(G241,业务功能_系统接口!$B$6:$H$1416,4,FALSE))</f>
        <v/>
      </c>
    </row>
    <row r="242" spans="3:10">
      <c r="C242" s="8"/>
      <c r="H242" s="9" t="str">
        <f>IF(G242="","",VLOOKUP(G242,业务功能_系统接口!$B$6:$H$1416,2,FALSE))</f>
        <v/>
      </c>
      <c r="I242" s="9" t="str">
        <f>IF(G242="","",VLOOKUP(G242,业务功能_系统接口!$B$6:$H$1416,3,FALSE))</f>
        <v/>
      </c>
      <c r="J242" s="9" t="str">
        <f>IF(G242="","",VLOOKUP(G242,业务功能_系统接口!$B$6:$H$1416,4,FALSE))</f>
        <v/>
      </c>
    </row>
    <row r="243" spans="3:10">
      <c r="C243" s="8"/>
      <c r="H243" s="9" t="str">
        <f>IF(G243="","",VLOOKUP(G243,业务功能_系统接口!$B$6:$H$1416,2,FALSE))</f>
        <v/>
      </c>
      <c r="I243" s="9" t="str">
        <f>IF(G243="","",VLOOKUP(G243,业务功能_系统接口!$B$6:$H$1416,3,FALSE))</f>
        <v/>
      </c>
      <c r="J243" s="9" t="str">
        <f>IF(G243="","",VLOOKUP(G243,业务功能_系统接口!$B$6:$H$1416,4,FALSE))</f>
        <v/>
      </c>
    </row>
    <row r="244" spans="3:10">
      <c r="C244" s="8"/>
      <c r="H244" s="9" t="str">
        <f>IF(G244="","",VLOOKUP(G244,业务功能_系统接口!$B$6:$H$1416,2,FALSE))</f>
        <v/>
      </c>
      <c r="I244" s="9" t="str">
        <f>IF(G244="","",VLOOKUP(G244,业务功能_系统接口!$B$6:$H$1416,3,FALSE))</f>
        <v/>
      </c>
      <c r="J244" s="9" t="str">
        <f>IF(G244="","",VLOOKUP(G244,业务功能_系统接口!$B$6:$H$1416,4,FALSE))</f>
        <v/>
      </c>
    </row>
    <row r="245" spans="3:10">
      <c r="C245" s="8"/>
      <c r="H245" s="9" t="str">
        <f>IF(G245="","",VLOOKUP(G245,业务功能_系统接口!$B$6:$H$1416,2,FALSE))</f>
        <v/>
      </c>
      <c r="I245" s="9" t="str">
        <f>IF(G245="","",VLOOKUP(G245,业务功能_系统接口!$B$6:$H$1416,3,FALSE))</f>
        <v/>
      </c>
      <c r="J245" s="9" t="str">
        <f>IF(G245="","",VLOOKUP(G245,业务功能_系统接口!$B$6:$H$1416,4,FALSE))</f>
        <v/>
      </c>
    </row>
    <row r="246" spans="3:10">
      <c r="C246" s="8"/>
      <c r="H246" s="9" t="str">
        <f>IF(G246="","",VLOOKUP(G246,业务功能_系统接口!$B$6:$H$1416,2,FALSE))</f>
        <v/>
      </c>
      <c r="I246" s="9" t="str">
        <f>IF(G246="","",VLOOKUP(G246,业务功能_系统接口!$B$6:$H$1416,3,FALSE))</f>
        <v/>
      </c>
      <c r="J246" s="9" t="str">
        <f>IF(G246="","",VLOOKUP(G246,业务功能_系统接口!$B$6:$H$1416,4,FALSE))</f>
        <v/>
      </c>
    </row>
    <row r="247" spans="3:10">
      <c r="C247" s="8"/>
      <c r="H247" s="9" t="str">
        <f>IF(G247="","",VLOOKUP(G247,业务功能_系统接口!$B$6:$H$1416,2,FALSE))</f>
        <v/>
      </c>
      <c r="I247" s="9" t="str">
        <f>IF(G247="","",VLOOKUP(G247,业务功能_系统接口!$B$6:$H$1416,3,FALSE))</f>
        <v/>
      </c>
      <c r="J247" s="9" t="str">
        <f>IF(G247="","",VLOOKUP(G247,业务功能_系统接口!$B$6:$H$1416,4,FALSE))</f>
        <v/>
      </c>
    </row>
    <row r="248" spans="3:10">
      <c r="C248" s="8"/>
      <c r="H248" s="9" t="str">
        <f>IF(G248="","",VLOOKUP(G248,业务功能_系统接口!$B$6:$H$1416,2,FALSE))</f>
        <v/>
      </c>
      <c r="I248" s="9" t="str">
        <f>IF(G248="","",VLOOKUP(G248,业务功能_系统接口!$B$6:$H$1416,3,FALSE))</f>
        <v/>
      </c>
      <c r="J248" s="9" t="str">
        <f>IF(G248="","",VLOOKUP(G248,业务功能_系统接口!$B$6:$H$1416,4,FALSE))</f>
        <v/>
      </c>
    </row>
    <row r="249" spans="3:10">
      <c r="C249" s="8"/>
      <c r="H249" s="9" t="str">
        <f>IF(G249="","",VLOOKUP(G249,业务功能_系统接口!$B$6:$H$1416,2,FALSE))</f>
        <v/>
      </c>
      <c r="I249" s="9" t="str">
        <f>IF(G249="","",VLOOKUP(G249,业务功能_系统接口!$B$6:$H$1416,3,FALSE))</f>
        <v/>
      </c>
      <c r="J249" s="9" t="str">
        <f>IF(G249="","",VLOOKUP(G249,业务功能_系统接口!$B$6:$H$1416,4,FALSE))</f>
        <v/>
      </c>
    </row>
    <row r="250" spans="3:10">
      <c r="C250" s="8"/>
      <c r="H250" s="9" t="str">
        <f>IF(G250="","",VLOOKUP(G250,业务功能_系统接口!$B$6:$H$1416,2,FALSE))</f>
        <v/>
      </c>
      <c r="I250" s="9" t="str">
        <f>IF(G250="","",VLOOKUP(G250,业务功能_系统接口!$B$6:$H$1416,3,FALSE))</f>
        <v/>
      </c>
      <c r="J250" s="9" t="str">
        <f>IF(G250="","",VLOOKUP(G250,业务功能_系统接口!$B$6:$H$1416,4,FALSE))</f>
        <v/>
      </c>
    </row>
    <row r="251" spans="3:10">
      <c r="C251" s="8"/>
      <c r="H251" s="9" t="str">
        <f>IF(G251="","",VLOOKUP(G251,业务功能_系统接口!$B$6:$H$1416,2,FALSE))</f>
        <v/>
      </c>
      <c r="I251" s="9" t="str">
        <f>IF(G251="","",VLOOKUP(G251,业务功能_系统接口!$B$6:$H$1416,3,FALSE))</f>
        <v/>
      </c>
      <c r="J251" s="9" t="str">
        <f>IF(G251="","",VLOOKUP(G251,业务功能_系统接口!$B$6:$H$1416,4,FALSE))</f>
        <v/>
      </c>
    </row>
    <row r="252" spans="3:10">
      <c r="C252" s="8"/>
      <c r="H252" s="9" t="str">
        <f>IF(G252="","",VLOOKUP(G252,业务功能_系统接口!$B$6:$H$1416,2,FALSE))</f>
        <v/>
      </c>
      <c r="I252" s="9" t="str">
        <f>IF(G252="","",VLOOKUP(G252,业务功能_系统接口!$B$6:$H$1416,3,FALSE))</f>
        <v/>
      </c>
      <c r="J252" s="9" t="str">
        <f>IF(G252="","",VLOOKUP(G252,业务功能_系统接口!$B$6:$H$1416,4,FALSE))</f>
        <v/>
      </c>
    </row>
    <row r="253" spans="3:10">
      <c r="C253" s="8"/>
      <c r="H253" s="9" t="str">
        <f>IF(G253="","",VLOOKUP(G253,业务功能_系统接口!$B$6:$H$1416,2,FALSE))</f>
        <v/>
      </c>
      <c r="I253" s="9" t="str">
        <f>IF(G253="","",VLOOKUP(G253,业务功能_系统接口!$B$6:$H$1416,3,FALSE))</f>
        <v/>
      </c>
      <c r="J253" s="9" t="str">
        <f>IF(G253="","",VLOOKUP(G253,业务功能_系统接口!$B$6:$H$1416,4,FALSE))</f>
        <v/>
      </c>
    </row>
    <row r="254" spans="3:10">
      <c r="C254" s="8"/>
      <c r="H254" s="9" t="str">
        <f>IF(G254="","",VLOOKUP(G254,业务功能_系统接口!$B$6:$H$1416,2,FALSE))</f>
        <v/>
      </c>
      <c r="I254" s="9" t="str">
        <f>IF(G254="","",VLOOKUP(G254,业务功能_系统接口!$B$6:$H$1416,3,FALSE))</f>
        <v/>
      </c>
      <c r="J254" s="9" t="str">
        <f>IF(G254="","",VLOOKUP(G254,业务功能_系统接口!$B$6:$H$1416,4,FALSE))</f>
        <v/>
      </c>
    </row>
    <row r="255" spans="3:10">
      <c r="C255" s="8"/>
      <c r="H255" s="9" t="str">
        <f>IF(G255="","",VLOOKUP(G255,业务功能_系统接口!$B$6:$H$1416,2,FALSE))</f>
        <v/>
      </c>
      <c r="I255" s="9" t="str">
        <f>IF(G255="","",VLOOKUP(G255,业务功能_系统接口!$B$6:$H$1416,3,FALSE))</f>
        <v/>
      </c>
      <c r="J255" s="9" t="str">
        <f>IF(G255="","",VLOOKUP(G255,业务功能_系统接口!$B$6:$H$1416,4,FALSE))</f>
        <v/>
      </c>
    </row>
    <row r="256" spans="3:10">
      <c r="C256" s="8"/>
      <c r="H256" s="9" t="str">
        <f>IF(G256="","",VLOOKUP(G256,业务功能_系统接口!$B$6:$H$1416,2,FALSE))</f>
        <v/>
      </c>
      <c r="I256" s="9" t="str">
        <f>IF(G256="","",VLOOKUP(G256,业务功能_系统接口!$B$6:$H$1416,3,FALSE))</f>
        <v/>
      </c>
      <c r="J256" s="9" t="str">
        <f>IF(G256="","",VLOOKUP(G256,业务功能_系统接口!$B$6:$H$1416,4,FALSE))</f>
        <v/>
      </c>
    </row>
    <row r="257" spans="3:10">
      <c r="C257" s="8"/>
      <c r="H257" s="9" t="str">
        <f>IF(G257="","",VLOOKUP(G257,业务功能_系统接口!$B$6:$H$1416,2,FALSE))</f>
        <v/>
      </c>
      <c r="I257" s="9" t="str">
        <f>IF(G257="","",VLOOKUP(G257,业务功能_系统接口!$B$6:$H$1416,3,FALSE))</f>
        <v/>
      </c>
      <c r="J257" s="9" t="str">
        <f>IF(G257="","",VLOOKUP(G257,业务功能_系统接口!$B$6:$H$1416,4,FALSE))</f>
        <v/>
      </c>
    </row>
    <row r="258" spans="3:10">
      <c r="C258" s="8"/>
      <c r="H258" s="9" t="str">
        <f>IF(G258="","",VLOOKUP(G258,业务功能_系统接口!$B$6:$H$1416,2,FALSE))</f>
        <v/>
      </c>
      <c r="I258" s="9" t="str">
        <f>IF(G258="","",VLOOKUP(G258,业务功能_系统接口!$B$6:$H$1416,3,FALSE))</f>
        <v/>
      </c>
      <c r="J258" s="9" t="str">
        <f>IF(G258="","",VLOOKUP(G258,业务功能_系统接口!$B$6:$H$1416,4,FALSE))</f>
        <v/>
      </c>
    </row>
    <row r="259" spans="3:10">
      <c r="C259" s="8"/>
      <c r="H259" s="9" t="str">
        <f>IF(G259="","",VLOOKUP(G259,业务功能_系统接口!$B$6:$H$1416,2,FALSE))</f>
        <v/>
      </c>
      <c r="I259" s="9" t="str">
        <f>IF(G259="","",VLOOKUP(G259,业务功能_系统接口!$B$6:$H$1416,3,FALSE))</f>
        <v/>
      </c>
      <c r="J259" s="9" t="str">
        <f>IF(G259="","",VLOOKUP(G259,业务功能_系统接口!$B$6:$H$1416,4,FALSE))</f>
        <v/>
      </c>
    </row>
    <row r="260" spans="3:10">
      <c r="C260" s="8"/>
      <c r="H260" s="9" t="str">
        <f>IF(G260="","",VLOOKUP(G260,业务功能_系统接口!$B$6:$H$1416,2,FALSE))</f>
        <v/>
      </c>
      <c r="I260" s="9" t="str">
        <f>IF(G260="","",VLOOKUP(G260,业务功能_系统接口!$B$6:$H$1416,3,FALSE))</f>
        <v/>
      </c>
      <c r="J260" s="9" t="str">
        <f>IF(G260="","",VLOOKUP(G260,业务功能_系统接口!$B$6:$H$1416,4,FALSE))</f>
        <v/>
      </c>
    </row>
    <row r="261" spans="3:10">
      <c r="C261" s="8"/>
      <c r="H261" s="9" t="str">
        <f>IF(G261="","",VLOOKUP(G261,业务功能_系统接口!$B$6:$H$1416,2,FALSE))</f>
        <v/>
      </c>
      <c r="I261" s="9" t="str">
        <f>IF(G261="","",VLOOKUP(G261,业务功能_系统接口!$B$6:$H$1416,3,FALSE))</f>
        <v/>
      </c>
      <c r="J261" s="9" t="str">
        <f>IF(G261="","",VLOOKUP(G261,业务功能_系统接口!$B$6:$H$1416,4,FALSE))</f>
        <v/>
      </c>
    </row>
    <row r="262" spans="3:10">
      <c r="C262" s="8"/>
      <c r="H262" s="9" t="str">
        <f>IF(G262="","",VLOOKUP(G262,业务功能_系统接口!$B$6:$H$1416,2,FALSE))</f>
        <v/>
      </c>
      <c r="I262" s="9" t="str">
        <f>IF(G262="","",VLOOKUP(G262,业务功能_系统接口!$B$6:$H$1416,3,FALSE))</f>
        <v/>
      </c>
      <c r="J262" s="9" t="str">
        <f>IF(G262="","",VLOOKUP(G262,业务功能_系统接口!$B$6:$H$1416,4,FALSE))</f>
        <v/>
      </c>
    </row>
    <row r="263" spans="3:10">
      <c r="C263" s="8"/>
      <c r="H263" s="9" t="str">
        <f>IF(G263="","",VLOOKUP(G263,业务功能_系统接口!$B$6:$H$1416,2,FALSE))</f>
        <v/>
      </c>
      <c r="I263" s="9" t="str">
        <f>IF(G263="","",VLOOKUP(G263,业务功能_系统接口!$B$6:$H$1416,3,FALSE))</f>
        <v/>
      </c>
      <c r="J263" s="9" t="str">
        <f>IF(G263="","",VLOOKUP(G263,业务功能_系统接口!$B$6:$H$1416,4,FALSE))</f>
        <v/>
      </c>
    </row>
    <row r="264" spans="3:10">
      <c r="C264" s="8"/>
      <c r="H264" s="9" t="str">
        <f>IF(G264="","",VLOOKUP(G264,业务功能_系统接口!$B$6:$H$1416,2,FALSE))</f>
        <v/>
      </c>
      <c r="I264" s="9" t="str">
        <f>IF(G264="","",VLOOKUP(G264,业务功能_系统接口!$B$6:$H$1416,3,FALSE))</f>
        <v/>
      </c>
      <c r="J264" s="9" t="str">
        <f>IF(G264="","",VLOOKUP(G264,业务功能_系统接口!$B$6:$H$1416,4,FALSE))</f>
        <v/>
      </c>
    </row>
    <row r="265" spans="3:10">
      <c r="C265" s="8"/>
      <c r="H265" s="9" t="str">
        <f>IF(G265="","",VLOOKUP(G265,业务功能_系统接口!$B$6:$H$1416,2,FALSE))</f>
        <v/>
      </c>
      <c r="I265" s="9" t="str">
        <f>IF(G265="","",VLOOKUP(G265,业务功能_系统接口!$B$6:$H$1416,3,FALSE))</f>
        <v/>
      </c>
      <c r="J265" s="9" t="str">
        <f>IF(G265="","",VLOOKUP(G265,业务功能_系统接口!$B$6:$H$1416,4,FALSE))</f>
        <v/>
      </c>
    </row>
    <row r="266" spans="3:10">
      <c r="C266" s="8"/>
      <c r="H266" s="9" t="str">
        <f>IF(G266="","",VLOOKUP(G266,业务功能_系统接口!$B$6:$H$1416,2,FALSE))</f>
        <v/>
      </c>
      <c r="I266" s="9" t="str">
        <f>IF(G266="","",VLOOKUP(G266,业务功能_系统接口!$B$6:$H$1416,3,FALSE))</f>
        <v/>
      </c>
      <c r="J266" s="9" t="str">
        <f>IF(G266="","",VLOOKUP(G266,业务功能_系统接口!$B$6:$H$1416,4,FALSE))</f>
        <v/>
      </c>
    </row>
    <row r="267" spans="3:10">
      <c r="C267" s="8"/>
      <c r="H267" s="9" t="str">
        <f>IF(G267="","",VLOOKUP(G267,业务功能_系统接口!$B$6:$H$1416,2,FALSE))</f>
        <v/>
      </c>
      <c r="I267" s="9" t="str">
        <f>IF(G267="","",VLOOKUP(G267,业务功能_系统接口!$B$6:$H$1416,3,FALSE))</f>
        <v/>
      </c>
      <c r="J267" s="9" t="str">
        <f>IF(G267="","",VLOOKUP(G267,业务功能_系统接口!$B$6:$H$1416,4,FALSE))</f>
        <v/>
      </c>
    </row>
    <row r="268" spans="3:10">
      <c r="C268" s="8"/>
      <c r="H268" s="9" t="str">
        <f>IF(G268="","",VLOOKUP(G268,业务功能_系统接口!$B$6:$H$1416,2,FALSE))</f>
        <v/>
      </c>
      <c r="I268" s="9" t="str">
        <f>IF(G268="","",VLOOKUP(G268,业务功能_系统接口!$B$6:$H$1416,3,FALSE))</f>
        <v/>
      </c>
      <c r="J268" s="9" t="str">
        <f>IF(G268="","",VLOOKUP(G268,业务功能_系统接口!$B$6:$H$1416,4,FALSE))</f>
        <v/>
      </c>
    </row>
    <row r="269" spans="3:10">
      <c r="C269" s="8"/>
      <c r="H269" s="9" t="str">
        <f>IF(G269="","",VLOOKUP(G269,业务功能_系统接口!$B$6:$H$1416,2,FALSE))</f>
        <v/>
      </c>
      <c r="I269" s="9" t="str">
        <f>IF(G269="","",VLOOKUP(G269,业务功能_系统接口!$B$6:$H$1416,3,FALSE))</f>
        <v/>
      </c>
      <c r="J269" s="9" t="str">
        <f>IF(G269="","",VLOOKUP(G269,业务功能_系统接口!$B$6:$H$1416,4,FALSE))</f>
        <v/>
      </c>
    </row>
    <row r="270" spans="3:10">
      <c r="C270" s="8"/>
      <c r="H270" s="9" t="str">
        <f>IF(G270="","",VLOOKUP(G270,业务功能_系统接口!$B$6:$H$1416,2,FALSE))</f>
        <v/>
      </c>
      <c r="I270" s="9" t="str">
        <f>IF(G270="","",VLOOKUP(G270,业务功能_系统接口!$B$6:$H$1416,3,FALSE))</f>
        <v/>
      </c>
      <c r="J270" s="9" t="str">
        <f>IF(G270="","",VLOOKUP(G270,业务功能_系统接口!$B$6:$H$1416,4,FALSE))</f>
        <v/>
      </c>
    </row>
    <row r="271" spans="3:10">
      <c r="C271" s="8"/>
      <c r="H271" s="9" t="str">
        <f>IF(G271="","",VLOOKUP(G271,业务功能_系统接口!$B$6:$H$1416,2,FALSE))</f>
        <v/>
      </c>
      <c r="I271" s="9" t="str">
        <f>IF(G271="","",VLOOKUP(G271,业务功能_系统接口!$B$6:$H$1416,3,FALSE))</f>
        <v/>
      </c>
      <c r="J271" s="9" t="str">
        <f>IF(G271="","",VLOOKUP(G271,业务功能_系统接口!$B$6:$H$1416,4,FALSE))</f>
        <v/>
      </c>
    </row>
    <row r="272" spans="3:10">
      <c r="C272" s="8"/>
      <c r="H272" s="9" t="str">
        <f>IF(G272="","",VLOOKUP(G272,业务功能_系统接口!$B$6:$H$1416,2,FALSE))</f>
        <v/>
      </c>
      <c r="I272" s="9" t="str">
        <f>IF(G272="","",VLOOKUP(G272,业务功能_系统接口!$B$6:$H$1416,3,FALSE))</f>
        <v/>
      </c>
      <c r="J272" s="9" t="str">
        <f>IF(G272="","",VLOOKUP(G272,业务功能_系统接口!$B$6:$H$1416,4,FALSE))</f>
        <v/>
      </c>
    </row>
    <row r="273" spans="3:10">
      <c r="C273" s="8"/>
      <c r="H273" s="9" t="str">
        <f>IF(G273="","",VLOOKUP(G273,业务功能_系统接口!$B$6:$H$1416,2,FALSE))</f>
        <v/>
      </c>
      <c r="I273" s="9" t="str">
        <f>IF(G273="","",VLOOKUP(G273,业务功能_系统接口!$B$6:$H$1416,3,FALSE))</f>
        <v/>
      </c>
      <c r="J273" s="9" t="str">
        <f>IF(G273="","",VLOOKUP(G273,业务功能_系统接口!$B$6:$H$1416,4,FALSE))</f>
        <v/>
      </c>
    </row>
    <row r="274" spans="3:10">
      <c r="C274" s="8"/>
      <c r="H274" s="9" t="str">
        <f>IF(G274="","",VLOOKUP(G274,业务功能_系统接口!$B$6:$H$1416,2,FALSE))</f>
        <v/>
      </c>
      <c r="I274" s="9" t="str">
        <f>IF(G274="","",VLOOKUP(G274,业务功能_系统接口!$B$6:$H$1416,3,FALSE))</f>
        <v/>
      </c>
      <c r="J274" s="9" t="str">
        <f>IF(G274="","",VLOOKUP(G274,业务功能_系统接口!$B$6:$H$1416,4,FALSE))</f>
        <v/>
      </c>
    </row>
    <row r="275" spans="3:10">
      <c r="C275" s="8"/>
      <c r="H275" s="9" t="str">
        <f>IF(G275="","",VLOOKUP(G275,业务功能_系统接口!$B$6:$H$1416,2,FALSE))</f>
        <v/>
      </c>
      <c r="I275" s="9" t="str">
        <f>IF(G275="","",VLOOKUP(G275,业务功能_系统接口!$B$6:$H$1416,3,FALSE))</f>
        <v/>
      </c>
      <c r="J275" s="9" t="str">
        <f>IF(G275="","",VLOOKUP(G275,业务功能_系统接口!$B$6:$H$1416,4,FALSE))</f>
        <v/>
      </c>
    </row>
    <row r="276" spans="3:10">
      <c r="C276" s="8"/>
      <c r="H276" s="9" t="str">
        <f>IF(G276="","",VLOOKUP(G276,业务功能_系统接口!$B$6:$H$1416,2,FALSE))</f>
        <v/>
      </c>
      <c r="I276" s="9" t="str">
        <f>IF(G276="","",VLOOKUP(G276,业务功能_系统接口!$B$6:$H$1416,3,FALSE))</f>
        <v/>
      </c>
      <c r="J276" s="9" t="str">
        <f>IF(G276="","",VLOOKUP(G276,业务功能_系统接口!$B$6:$H$1416,4,FALSE))</f>
        <v/>
      </c>
    </row>
    <row r="277" spans="3:10">
      <c r="C277" s="8"/>
      <c r="H277" s="9" t="str">
        <f>IF(G277="","",VLOOKUP(G277,业务功能_系统接口!$B$6:$H$1416,2,FALSE))</f>
        <v/>
      </c>
      <c r="I277" s="9" t="str">
        <f>IF(G277="","",VLOOKUP(G277,业务功能_系统接口!$B$6:$H$1416,3,FALSE))</f>
        <v/>
      </c>
      <c r="J277" s="9" t="str">
        <f>IF(G277="","",VLOOKUP(G277,业务功能_系统接口!$B$6:$H$1416,4,FALSE))</f>
        <v/>
      </c>
    </row>
    <row r="278" spans="3:10">
      <c r="C278" s="8"/>
      <c r="H278" s="9" t="str">
        <f>IF(G278="","",VLOOKUP(G278,业务功能_系统接口!$B$6:$H$1416,2,FALSE))</f>
        <v/>
      </c>
      <c r="I278" s="9" t="str">
        <f>IF(G278="","",VLOOKUP(G278,业务功能_系统接口!$B$6:$H$1416,3,FALSE))</f>
        <v/>
      </c>
      <c r="J278" s="9" t="str">
        <f>IF(G278="","",VLOOKUP(G278,业务功能_系统接口!$B$6:$H$1416,4,FALSE))</f>
        <v/>
      </c>
    </row>
    <row r="279" spans="3:10">
      <c r="C279" s="8"/>
      <c r="H279" s="9" t="str">
        <f>IF(G279="","",VLOOKUP(G279,业务功能_系统接口!$B$6:$H$1416,2,FALSE))</f>
        <v/>
      </c>
      <c r="I279" s="9" t="str">
        <f>IF(G279="","",VLOOKUP(G279,业务功能_系统接口!$B$6:$H$1416,3,FALSE))</f>
        <v/>
      </c>
      <c r="J279" s="9" t="str">
        <f>IF(G279="","",VLOOKUP(G279,业务功能_系统接口!$B$6:$H$1416,4,FALSE))</f>
        <v/>
      </c>
    </row>
    <row r="280" spans="3:10">
      <c r="C280" s="8"/>
      <c r="H280" s="9" t="str">
        <f>IF(G280="","",VLOOKUP(G280,业务功能_系统接口!$B$6:$H$1416,2,FALSE))</f>
        <v/>
      </c>
      <c r="I280" s="9" t="str">
        <f>IF(G280="","",VLOOKUP(G280,业务功能_系统接口!$B$6:$H$1416,3,FALSE))</f>
        <v/>
      </c>
      <c r="J280" s="9" t="str">
        <f>IF(G280="","",VLOOKUP(G280,业务功能_系统接口!$B$6:$H$1416,4,FALSE))</f>
        <v/>
      </c>
    </row>
    <row r="281" spans="3:10">
      <c r="C281" s="8"/>
      <c r="H281" s="9" t="str">
        <f>IF(G281="","",VLOOKUP(G281,业务功能_系统接口!$B$6:$H$1416,2,FALSE))</f>
        <v/>
      </c>
      <c r="I281" s="9" t="str">
        <f>IF(G281="","",VLOOKUP(G281,业务功能_系统接口!$B$6:$H$1416,3,FALSE))</f>
        <v/>
      </c>
      <c r="J281" s="9" t="str">
        <f>IF(G281="","",VLOOKUP(G281,业务功能_系统接口!$B$6:$H$1416,4,FALSE))</f>
        <v/>
      </c>
    </row>
    <row r="282" spans="3:10">
      <c r="C282" s="8"/>
      <c r="H282" s="9" t="str">
        <f>IF(G282="","",VLOOKUP(G282,业务功能_系统接口!$B$6:$H$1416,2,FALSE))</f>
        <v/>
      </c>
      <c r="I282" s="9" t="str">
        <f>IF(G282="","",VLOOKUP(G282,业务功能_系统接口!$B$6:$H$1416,3,FALSE))</f>
        <v/>
      </c>
      <c r="J282" s="9" t="str">
        <f>IF(G282="","",VLOOKUP(G282,业务功能_系统接口!$B$6:$H$1416,4,FALSE))</f>
        <v/>
      </c>
    </row>
    <row r="283" spans="3:10">
      <c r="C283" s="8"/>
      <c r="H283" s="9" t="str">
        <f>IF(G283="","",VLOOKUP(G283,业务功能_系统接口!$B$6:$H$1416,2,FALSE))</f>
        <v/>
      </c>
      <c r="I283" s="9" t="str">
        <f>IF(G283="","",VLOOKUP(G283,业务功能_系统接口!$B$6:$H$1416,3,FALSE))</f>
        <v/>
      </c>
      <c r="J283" s="9" t="str">
        <f>IF(G283="","",VLOOKUP(G283,业务功能_系统接口!$B$6:$H$1416,4,FALSE))</f>
        <v/>
      </c>
    </row>
    <row r="284" spans="3:10">
      <c r="C284" s="8"/>
      <c r="H284" s="9" t="str">
        <f>IF(G284="","",VLOOKUP(G284,业务功能_系统接口!$B$6:$H$1416,2,FALSE))</f>
        <v/>
      </c>
      <c r="I284" s="9" t="str">
        <f>IF(G284="","",VLOOKUP(G284,业务功能_系统接口!$B$6:$H$1416,3,FALSE))</f>
        <v/>
      </c>
      <c r="J284" s="9" t="str">
        <f>IF(G284="","",VLOOKUP(G284,业务功能_系统接口!$B$6:$H$1416,4,FALSE))</f>
        <v/>
      </c>
    </row>
    <row r="285" spans="3:10">
      <c r="C285" s="8"/>
      <c r="H285" s="9" t="str">
        <f>IF(G285="","",VLOOKUP(G285,业务功能_系统接口!$B$6:$H$1416,2,FALSE))</f>
        <v/>
      </c>
      <c r="I285" s="9" t="str">
        <f>IF(G285="","",VLOOKUP(G285,业务功能_系统接口!$B$6:$H$1416,3,FALSE))</f>
        <v/>
      </c>
      <c r="J285" s="9" t="str">
        <f>IF(G285="","",VLOOKUP(G285,业务功能_系统接口!$B$6:$H$1416,4,FALSE))</f>
        <v/>
      </c>
    </row>
    <row r="286" spans="3:10">
      <c r="C286" s="8"/>
      <c r="H286" s="9" t="str">
        <f>IF(G286="","",VLOOKUP(G286,业务功能_系统接口!$B$6:$H$1416,2,FALSE))</f>
        <v/>
      </c>
      <c r="I286" s="9" t="str">
        <f>IF(G286="","",VLOOKUP(G286,业务功能_系统接口!$B$6:$H$1416,3,FALSE))</f>
        <v/>
      </c>
      <c r="J286" s="9" t="str">
        <f>IF(G286="","",VLOOKUP(G286,业务功能_系统接口!$B$6:$H$1416,4,FALSE))</f>
        <v/>
      </c>
    </row>
    <row r="287" spans="3:10">
      <c r="C287" s="8"/>
      <c r="H287" s="9" t="str">
        <f>IF(G287="","",VLOOKUP(G287,业务功能_系统接口!$B$6:$H$1416,2,FALSE))</f>
        <v/>
      </c>
      <c r="I287" s="9" t="str">
        <f>IF(G287="","",VLOOKUP(G287,业务功能_系统接口!$B$6:$H$1416,3,FALSE))</f>
        <v/>
      </c>
      <c r="J287" s="9" t="str">
        <f>IF(G287="","",VLOOKUP(G287,业务功能_系统接口!$B$6:$H$1416,4,FALSE))</f>
        <v/>
      </c>
    </row>
    <row r="288" spans="3:10">
      <c r="C288" s="8"/>
      <c r="H288" s="9" t="str">
        <f>IF(G288="","",VLOOKUP(G288,业务功能_系统接口!$B$6:$H$1416,2,FALSE))</f>
        <v/>
      </c>
      <c r="I288" s="9" t="str">
        <f>IF(G288="","",VLOOKUP(G288,业务功能_系统接口!$B$6:$H$1416,3,FALSE))</f>
        <v/>
      </c>
      <c r="J288" s="9" t="str">
        <f>IF(G288="","",VLOOKUP(G288,业务功能_系统接口!$B$6:$H$1416,4,FALSE))</f>
        <v/>
      </c>
    </row>
    <row r="289" spans="3:10">
      <c r="C289" s="8"/>
      <c r="H289" s="9" t="str">
        <f>IF(G289="","",VLOOKUP(G289,业务功能_系统接口!$B$6:$H$1416,2,FALSE))</f>
        <v/>
      </c>
      <c r="I289" s="9" t="str">
        <f>IF(G289="","",VLOOKUP(G289,业务功能_系统接口!$B$6:$H$1416,3,FALSE))</f>
        <v/>
      </c>
      <c r="J289" s="9" t="str">
        <f>IF(G289="","",VLOOKUP(G289,业务功能_系统接口!$B$6:$H$1416,4,FALSE))</f>
        <v/>
      </c>
    </row>
    <row r="290" spans="3:10">
      <c r="C290" s="8"/>
      <c r="H290" s="9" t="str">
        <f>IF(G290="","",VLOOKUP(G290,业务功能_系统接口!$B$6:$H$1416,2,FALSE))</f>
        <v/>
      </c>
      <c r="I290" s="9" t="str">
        <f>IF(G290="","",VLOOKUP(G290,业务功能_系统接口!$B$6:$H$1416,3,FALSE))</f>
        <v/>
      </c>
      <c r="J290" s="9" t="str">
        <f>IF(G290="","",VLOOKUP(G290,业务功能_系统接口!$B$6:$H$1416,4,FALSE))</f>
        <v/>
      </c>
    </row>
    <row r="291" spans="3:10">
      <c r="C291" s="8"/>
      <c r="H291" s="9" t="str">
        <f>IF(G291="","",VLOOKUP(G291,业务功能_系统接口!$B$6:$H$1416,2,FALSE))</f>
        <v/>
      </c>
      <c r="I291" s="9" t="str">
        <f>IF(G291="","",VLOOKUP(G291,业务功能_系统接口!$B$6:$H$1416,3,FALSE))</f>
        <v/>
      </c>
      <c r="J291" s="9" t="str">
        <f>IF(G291="","",VLOOKUP(G291,业务功能_系统接口!$B$6:$H$1416,4,FALSE))</f>
        <v/>
      </c>
    </row>
    <row r="292" spans="3:10">
      <c r="C292" s="8"/>
      <c r="H292" s="9" t="str">
        <f>IF(G292="","",VLOOKUP(G292,业务功能_系统接口!$B$6:$H$1416,2,FALSE))</f>
        <v/>
      </c>
      <c r="I292" s="9" t="str">
        <f>IF(G292="","",VLOOKUP(G292,业务功能_系统接口!$B$6:$H$1416,3,FALSE))</f>
        <v/>
      </c>
      <c r="J292" s="9" t="str">
        <f>IF(G292="","",VLOOKUP(G292,业务功能_系统接口!$B$6:$H$1416,4,FALSE))</f>
        <v/>
      </c>
    </row>
    <row r="293" spans="3:10">
      <c r="C293" s="8"/>
      <c r="H293" s="9" t="str">
        <f>IF(G293="","",VLOOKUP(G293,业务功能_系统接口!$B$6:$H$1416,2,FALSE))</f>
        <v/>
      </c>
      <c r="I293" s="9" t="str">
        <f>IF(G293="","",VLOOKUP(G293,业务功能_系统接口!$B$6:$H$1416,3,FALSE))</f>
        <v/>
      </c>
      <c r="J293" s="9" t="str">
        <f>IF(G293="","",VLOOKUP(G293,业务功能_系统接口!$B$6:$H$1416,4,FALSE))</f>
        <v/>
      </c>
    </row>
    <row r="294" spans="3:10">
      <c r="C294" s="8"/>
      <c r="H294" s="9" t="str">
        <f>IF(G294="","",VLOOKUP(G294,业务功能_系统接口!$B$6:$H$1416,2,FALSE))</f>
        <v/>
      </c>
      <c r="I294" s="9" t="str">
        <f>IF(G294="","",VLOOKUP(G294,业务功能_系统接口!$B$6:$H$1416,3,FALSE))</f>
        <v/>
      </c>
      <c r="J294" s="9" t="str">
        <f>IF(G294="","",VLOOKUP(G294,业务功能_系统接口!$B$6:$H$1416,4,FALSE))</f>
        <v/>
      </c>
    </row>
    <row r="295" spans="3:10">
      <c r="C295" s="8"/>
      <c r="H295" s="9" t="str">
        <f>IF(G295="","",VLOOKUP(G295,业务功能_系统接口!$B$6:$H$1416,2,FALSE))</f>
        <v/>
      </c>
      <c r="I295" s="9" t="str">
        <f>IF(G295="","",VLOOKUP(G295,业务功能_系统接口!$B$6:$H$1416,3,FALSE))</f>
        <v/>
      </c>
      <c r="J295" s="9" t="str">
        <f>IF(G295="","",VLOOKUP(G295,业务功能_系统接口!$B$6:$H$1416,4,FALSE))</f>
        <v/>
      </c>
    </row>
    <row r="296" spans="3:10">
      <c r="C296" s="8"/>
      <c r="H296" s="9" t="str">
        <f>IF(G296="","",VLOOKUP(G296,业务功能_系统接口!$B$6:$H$1416,2,FALSE))</f>
        <v/>
      </c>
      <c r="I296" s="9" t="str">
        <f>IF(G296="","",VLOOKUP(G296,业务功能_系统接口!$B$6:$H$1416,3,FALSE))</f>
        <v/>
      </c>
      <c r="J296" s="9" t="str">
        <f>IF(G296="","",VLOOKUP(G296,业务功能_系统接口!$B$6:$H$1416,4,FALSE))</f>
        <v/>
      </c>
    </row>
    <row r="297" spans="3:10">
      <c r="C297" s="8"/>
      <c r="H297" s="9" t="str">
        <f>IF(G297="","",VLOOKUP(G297,业务功能_系统接口!$B$6:$H$1416,2,FALSE))</f>
        <v/>
      </c>
      <c r="I297" s="9" t="str">
        <f>IF(G297="","",VLOOKUP(G297,业务功能_系统接口!$B$6:$H$1416,3,FALSE))</f>
        <v/>
      </c>
      <c r="J297" s="9" t="str">
        <f>IF(G297="","",VLOOKUP(G297,业务功能_系统接口!$B$6:$H$1416,4,FALSE))</f>
        <v/>
      </c>
    </row>
    <row r="298" spans="3:10">
      <c r="C298" s="8"/>
      <c r="H298" s="9" t="str">
        <f>IF(G298="","",VLOOKUP(G298,业务功能_系统接口!$B$6:$H$1416,2,FALSE))</f>
        <v/>
      </c>
      <c r="I298" s="9" t="str">
        <f>IF(G298="","",VLOOKUP(G298,业务功能_系统接口!$B$6:$H$1416,3,FALSE))</f>
        <v/>
      </c>
      <c r="J298" s="9" t="str">
        <f>IF(G298="","",VLOOKUP(G298,业务功能_系统接口!$B$6:$H$1416,4,FALSE))</f>
        <v/>
      </c>
    </row>
    <row r="299" spans="3:10">
      <c r="C299" s="8"/>
      <c r="H299" s="9" t="str">
        <f>IF(G299="","",VLOOKUP(G299,业务功能_系统接口!$B$6:$H$1416,2,FALSE))</f>
        <v/>
      </c>
      <c r="I299" s="9" t="str">
        <f>IF(G299="","",VLOOKUP(G299,业务功能_系统接口!$B$6:$H$1416,3,FALSE))</f>
        <v/>
      </c>
      <c r="J299" s="9" t="str">
        <f>IF(G299="","",VLOOKUP(G299,业务功能_系统接口!$B$6:$H$1416,4,FALSE))</f>
        <v/>
      </c>
    </row>
    <row r="300" spans="3:10">
      <c r="C300" s="8"/>
      <c r="H300" s="9" t="str">
        <f>IF(G300="","",VLOOKUP(G300,业务功能_系统接口!$B$6:$H$1416,2,FALSE))</f>
        <v/>
      </c>
      <c r="I300" s="9" t="str">
        <f>IF(G300="","",VLOOKUP(G300,业务功能_系统接口!$B$6:$H$1416,3,FALSE))</f>
        <v/>
      </c>
      <c r="J300" s="9" t="str">
        <f>IF(G300="","",VLOOKUP(G300,业务功能_系统接口!$B$6:$H$1416,4,FALSE))</f>
        <v/>
      </c>
    </row>
    <row r="301" spans="3:10">
      <c r="C301" s="8"/>
      <c r="H301" s="9" t="str">
        <f>IF(G301="","",VLOOKUP(G301,业务功能_系统接口!$B$6:$H$1416,2,FALSE))</f>
        <v/>
      </c>
      <c r="I301" s="9" t="str">
        <f>IF(G301="","",VLOOKUP(G301,业务功能_系统接口!$B$6:$H$1416,3,FALSE))</f>
        <v/>
      </c>
      <c r="J301" s="9" t="str">
        <f>IF(G301="","",VLOOKUP(G301,业务功能_系统接口!$B$6:$H$1416,4,FALSE))</f>
        <v/>
      </c>
    </row>
    <row r="302" spans="3:10">
      <c r="C302" s="8"/>
      <c r="H302" s="9" t="str">
        <f>IF(G302="","",VLOOKUP(G302,业务功能_系统接口!$B$6:$H$1416,2,FALSE))</f>
        <v/>
      </c>
      <c r="I302" s="9" t="str">
        <f>IF(G302="","",VLOOKUP(G302,业务功能_系统接口!$B$6:$H$1416,3,FALSE))</f>
        <v/>
      </c>
      <c r="J302" s="9" t="str">
        <f>IF(G302="","",VLOOKUP(G302,业务功能_系统接口!$B$6:$H$1416,4,FALSE))</f>
        <v/>
      </c>
    </row>
    <row r="303" spans="3:10">
      <c r="C303" s="8"/>
      <c r="H303" s="9" t="str">
        <f>IF(G303="","",VLOOKUP(G303,业务功能_系统接口!$B$6:$H$1416,2,FALSE))</f>
        <v/>
      </c>
      <c r="I303" s="9" t="str">
        <f>IF(G303="","",VLOOKUP(G303,业务功能_系统接口!$B$6:$H$1416,3,FALSE))</f>
        <v/>
      </c>
      <c r="J303" s="9" t="str">
        <f>IF(G303="","",VLOOKUP(G303,业务功能_系统接口!$B$6:$H$1416,4,FALSE))</f>
        <v/>
      </c>
    </row>
    <row r="304" spans="3:10">
      <c r="C304" s="8"/>
      <c r="H304" s="9" t="str">
        <f>IF(G304="","",VLOOKUP(G304,业务功能_系统接口!$B$6:$H$1416,2,FALSE))</f>
        <v/>
      </c>
      <c r="I304" s="9" t="str">
        <f>IF(G304="","",VLOOKUP(G304,业务功能_系统接口!$B$6:$H$1416,3,FALSE))</f>
        <v/>
      </c>
      <c r="J304" s="9" t="str">
        <f>IF(G304="","",VLOOKUP(G304,业务功能_系统接口!$B$6:$H$1416,4,FALSE))</f>
        <v/>
      </c>
    </row>
    <row r="305" spans="3:10">
      <c r="C305" s="8"/>
      <c r="H305" s="9" t="str">
        <f>IF(G305="","",VLOOKUP(G305,业务功能_系统接口!$B$6:$H$1416,2,FALSE))</f>
        <v/>
      </c>
      <c r="I305" s="9" t="str">
        <f>IF(G305="","",VLOOKUP(G305,业务功能_系统接口!$B$6:$H$1416,3,FALSE))</f>
        <v/>
      </c>
      <c r="J305" s="9" t="str">
        <f>IF(G305="","",VLOOKUP(G305,业务功能_系统接口!$B$6:$H$1416,4,FALSE))</f>
        <v/>
      </c>
    </row>
    <row r="306" spans="3:10">
      <c r="C306" s="8"/>
      <c r="H306" s="9" t="str">
        <f>IF(G306="","",VLOOKUP(G306,业务功能_系统接口!$B$6:$H$1416,2,FALSE))</f>
        <v/>
      </c>
      <c r="I306" s="9" t="str">
        <f>IF(G306="","",VLOOKUP(G306,业务功能_系统接口!$B$6:$H$1416,3,FALSE))</f>
        <v/>
      </c>
      <c r="J306" s="9" t="str">
        <f>IF(G306="","",VLOOKUP(G306,业务功能_系统接口!$B$6:$H$1416,4,FALSE))</f>
        <v/>
      </c>
    </row>
    <row r="307" spans="3:10">
      <c r="C307" s="8"/>
      <c r="H307" s="9" t="str">
        <f>IF(G307="","",VLOOKUP(G307,业务功能_系统接口!$B$6:$H$1416,2,FALSE))</f>
        <v/>
      </c>
      <c r="I307" s="9" t="str">
        <f>IF(G307="","",VLOOKUP(G307,业务功能_系统接口!$B$6:$H$1416,3,FALSE))</f>
        <v/>
      </c>
      <c r="J307" s="9" t="str">
        <f>IF(G307="","",VLOOKUP(G307,业务功能_系统接口!$B$6:$H$1416,4,FALSE))</f>
        <v/>
      </c>
    </row>
    <row r="308" spans="3:10">
      <c r="C308" s="8"/>
      <c r="H308" s="9" t="str">
        <f>IF(G308="","",VLOOKUP(G308,业务功能_系统接口!$B$6:$H$1416,2,FALSE))</f>
        <v/>
      </c>
      <c r="I308" s="9" t="str">
        <f>IF(G308="","",VLOOKUP(G308,业务功能_系统接口!$B$6:$H$1416,3,FALSE))</f>
        <v/>
      </c>
      <c r="J308" s="9" t="str">
        <f>IF(G308="","",VLOOKUP(G308,业务功能_系统接口!$B$6:$H$1416,4,FALSE))</f>
        <v/>
      </c>
    </row>
    <row r="309" spans="3:10">
      <c r="C309" s="8"/>
      <c r="H309" s="9" t="str">
        <f>IF(G309="","",VLOOKUP(G309,业务功能_系统接口!$B$6:$H$1416,2,FALSE))</f>
        <v/>
      </c>
      <c r="I309" s="9" t="str">
        <f>IF(G309="","",VLOOKUP(G309,业务功能_系统接口!$B$6:$H$1416,3,FALSE))</f>
        <v/>
      </c>
      <c r="J309" s="9" t="str">
        <f>IF(G309="","",VLOOKUP(G309,业务功能_系统接口!$B$6:$H$1416,4,FALSE))</f>
        <v/>
      </c>
    </row>
    <row r="310" spans="3:10">
      <c r="C310" s="8"/>
      <c r="H310" s="9" t="str">
        <f>IF(G310="","",VLOOKUP(G310,业务功能_系统接口!$B$6:$H$1416,2,FALSE))</f>
        <v/>
      </c>
      <c r="I310" s="9" t="str">
        <f>IF(G310="","",VLOOKUP(G310,业务功能_系统接口!$B$6:$H$1416,3,FALSE))</f>
        <v/>
      </c>
      <c r="J310" s="9" t="str">
        <f>IF(G310="","",VLOOKUP(G310,业务功能_系统接口!$B$6:$H$1416,4,FALSE))</f>
        <v/>
      </c>
    </row>
    <row r="311" spans="3:10">
      <c r="C311" s="8"/>
      <c r="H311" s="9" t="str">
        <f>IF(G311="","",VLOOKUP(G311,业务功能_系统接口!$B$6:$H$1416,2,FALSE))</f>
        <v/>
      </c>
      <c r="I311" s="9" t="str">
        <f>IF(G311="","",VLOOKUP(G311,业务功能_系统接口!$B$6:$H$1416,3,FALSE))</f>
        <v/>
      </c>
      <c r="J311" s="9" t="str">
        <f>IF(G311="","",VLOOKUP(G311,业务功能_系统接口!$B$6:$H$1416,4,FALSE))</f>
        <v/>
      </c>
    </row>
    <row r="312" spans="3:10">
      <c r="C312" s="8"/>
      <c r="H312" s="9" t="str">
        <f>IF(G312="","",VLOOKUP(G312,业务功能_系统接口!$B$6:$H$1416,2,FALSE))</f>
        <v/>
      </c>
      <c r="I312" s="9" t="str">
        <f>IF(G312="","",VLOOKUP(G312,业务功能_系统接口!$B$6:$H$1416,3,FALSE))</f>
        <v/>
      </c>
      <c r="J312" s="9" t="str">
        <f>IF(G312="","",VLOOKUP(G312,业务功能_系统接口!$B$6:$H$1416,4,FALSE))</f>
        <v/>
      </c>
    </row>
    <row r="313" spans="3:10">
      <c r="C313" s="8"/>
      <c r="H313" s="9" t="str">
        <f>IF(G313="","",VLOOKUP(G313,业务功能_系统接口!$B$6:$H$1416,2,FALSE))</f>
        <v/>
      </c>
      <c r="I313" s="9" t="str">
        <f>IF(G313="","",VLOOKUP(G313,业务功能_系统接口!$B$6:$H$1416,3,FALSE))</f>
        <v/>
      </c>
      <c r="J313" s="9" t="str">
        <f>IF(G313="","",VLOOKUP(G313,业务功能_系统接口!$B$6:$H$1416,4,FALSE))</f>
        <v/>
      </c>
    </row>
    <row r="314" spans="3:10">
      <c r="C314" s="8"/>
      <c r="H314" s="9" t="str">
        <f>IF(G314="","",VLOOKUP(G314,业务功能_系统接口!$B$6:$H$1416,2,FALSE))</f>
        <v/>
      </c>
      <c r="I314" s="9" t="str">
        <f>IF(G314="","",VLOOKUP(G314,业务功能_系统接口!$B$6:$H$1416,3,FALSE))</f>
        <v/>
      </c>
      <c r="J314" s="9" t="str">
        <f>IF(G314="","",VLOOKUP(G314,业务功能_系统接口!$B$6:$H$1416,4,FALSE))</f>
        <v/>
      </c>
    </row>
    <row r="315" spans="3:10">
      <c r="C315" s="8"/>
      <c r="H315" s="9" t="str">
        <f>IF(G315="","",VLOOKUP(G315,业务功能_系统接口!$B$6:$H$1416,2,FALSE))</f>
        <v/>
      </c>
      <c r="I315" s="9" t="str">
        <f>IF(G315="","",VLOOKUP(G315,业务功能_系统接口!$B$6:$H$1416,3,FALSE))</f>
        <v/>
      </c>
      <c r="J315" s="9" t="str">
        <f>IF(G315="","",VLOOKUP(G315,业务功能_系统接口!$B$6:$H$1416,4,FALSE))</f>
        <v/>
      </c>
    </row>
    <row r="316" spans="3:10">
      <c r="C316" s="8"/>
      <c r="H316" s="9" t="str">
        <f>IF(G316="","",VLOOKUP(G316,业务功能_系统接口!$B$6:$H$1416,2,FALSE))</f>
        <v/>
      </c>
      <c r="I316" s="9" t="str">
        <f>IF(G316="","",VLOOKUP(G316,业务功能_系统接口!$B$6:$H$1416,3,FALSE))</f>
        <v/>
      </c>
      <c r="J316" s="9" t="str">
        <f>IF(G316="","",VLOOKUP(G316,业务功能_系统接口!$B$6:$H$1416,4,FALSE))</f>
        <v/>
      </c>
    </row>
    <row r="317" spans="3:10">
      <c r="C317" s="8"/>
      <c r="H317" s="9" t="str">
        <f>IF(G317="","",VLOOKUP(G317,业务功能_系统接口!$B$6:$H$1416,2,FALSE))</f>
        <v/>
      </c>
      <c r="I317" s="9" t="str">
        <f>IF(G317="","",VLOOKUP(G317,业务功能_系统接口!$B$6:$H$1416,3,FALSE))</f>
        <v/>
      </c>
      <c r="J317" s="9" t="str">
        <f>IF(G317="","",VLOOKUP(G317,业务功能_系统接口!$B$6:$H$1416,4,FALSE))</f>
        <v/>
      </c>
    </row>
    <row r="318" spans="3:10">
      <c r="C318" s="8"/>
      <c r="H318" s="9" t="str">
        <f>IF(G318="","",VLOOKUP(G318,业务功能_系统接口!$B$6:$H$1416,2,FALSE))</f>
        <v/>
      </c>
      <c r="I318" s="9" t="str">
        <f>IF(G318="","",VLOOKUP(G318,业务功能_系统接口!$B$6:$H$1416,3,FALSE))</f>
        <v/>
      </c>
      <c r="J318" s="9" t="str">
        <f>IF(G318="","",VLOOKUP(G318,业务功能_系统接口!$B$6:$H$1416,4,FALSE))</f>
        <v/>
      </c>
    </row>
    <row r="319" spans="3:10">
      <c r="C319" s="8"/>
      <c r="H319" s="9" t="str">
        <f>IF(G319="","",VLOOKUP(G319,业务功能_系统接口!$B$6:$H$1416,2,FALSE))</f>
        <v/>
      </c>
      <c r="I319" s="9" t="str">
        <f>IF(G319="","",VLOOKUP(G319,业务功能_系统接口!$B$6:$H$1416,3,FALSE))</f>
        <v/>
      </c>
      <c r="J319" s="9" t="str">
        <f>IF(G319="","",VLOOKUP(G319,业务功能_系统接口!$B$6:$H$1416,4,FALSE))</f>
        <v/>
      </c>
    </row>
    <row r="320" spans="3:10">
      <c r="C320" s="8"/>
      <c r="H320" s="9" t="str">
        <f>IF(G320="","",VLOOKUP(G320,业务功能_系统接口!$B$6:$H$1416,2,FALSE))</f>
        <v/>
      </c>
      <c r="I320" s="9" t="str">
        <f>IF(G320="","",VLOOKUP(G320,业务功能_系统接口!$B$6:$H$1416,3,FALSE))</f>
        <v/>
      </c>
      <c r="J320" s="9" t="str">
        <f>IF(G320="","",VLOOKUP(G320,业务功能_系统接口!$B$6:$H$1416,4,FALSE))</f>
        <v/>
      </c>
    </row>
    <row r="321" spans="3:10">
      <c r="C321" s="8"/>
      <c r="H321" s="9" t="str">
        <f>IF(G321="","",VLOOKUP(G321,业务功能_系统接口!$B$6:$H$1416,2,FALSE))</f>
        <v/>
      </c>
      <c r="I321" s="9" t="str">
        <f>IF(G321="","",VLOOKUP(G321,业务功能_系统接口!$B$6:$H$1416,3,FALSE))</f>
        <v/>
      </c>
      <c r="J321" s="9" t="str">
        <f>IF(G321="","",VLOOKUP(G321,业务功能_系统接口!$B$6:$H$1416,4,FALSE))</f>
        <v/>
      </c>
    </row>
    <row r="322" spans="3:10">
      <c r="C322" s="8"/>
      <c r="H322" s="9" t="str">
        <f>IF(G322="","",VLOOKUP(G322,业务功能_系统接口!$B$6:$H$1416,2,FALSE))</f>
        <v/>
      </c>
      <c r="I322" s="9" t="str">
        <f>IF(G322="","",VLOOKUP(G322,业务功能_系统接口!$B$6:$H$1416,3,FALSE))</f>
        <v/>
      </c>
      <c r="J322" s="9" t="str">
        <f>IF(G322="","",VLOOKUP(G322,业务功能_系统接口!$B$6:$H$1416,4,FALSE))</f>
        <v/>
      </c>
    </row>
    <row r="323" spans="3:10">
      <c r="C323" s="8"/>
      <c r="H323" s="9" t="str">
        <f>IF(G323="","",VLOOKUP(G323,业务功能_系统接口!$B$6:$H$1416,2,FALSE))</f>
        <v/>
      </c>
      <c r="I323" s="9" t="str">
        <f>IF(G323="","",VLOOKUP(G323,业务功能_系统接口!$B$6:$H$1416,3,FALSE))</f>
        <v/>
      </c>
      <c r="J323" s="9" t="str">
        <f>IF(G323="","",VLOOKUP(G323,业务功能_系统接口!$B$6:$H$1416,4,FALSE))</f>
        <v/>
      </c>
    </row>
    <row r="324" spans="3:10">
      <c r="C324" s="8"/>
      <c r="H324" s="9" t="str">
        <f>IF(G324="","",VLOOKUP(G324,业务功能_系统接口!$B$6:$H$1416,2,FALSE))</f>
        <v/>
      </c>
      <c r="I324" s="9" t="str">
        <f>IF(G324="","",VLOOKUP(G324,业务功能_系统接口!$B$6:$H$1416,3,FALSE))</f>
        <v/>
      </c>
      <c r="J324" s="9" t="str">
        <f>IF(G324="","",VLOOKUP(G324,业务功能_系统接口!$B$6:$H$1416,4,FALSE))</f>
        <v/>
      </c>
    </row>
    <row r="325" spans="3:10">
      <c r="C325" s="8"/>
      <c r="H325" s="9" t="str">
        <f>IF(G325="","",VLOOKUP(G325,业务功能_系统接口!$B$6:$H$1416,2,FALSE))</f>
        <v/>
      </c>
      <c r="I325" s="9" t="str">
        <f>IF(G325="","",VLOOKUP(G325,业务功能_系统接口!$B$6:$H$1416,3,FALSE))</f>
        <v/>
      </c>
      <c r="J325" s="9" t="str">
        <f>IF(G325="","",VLOOKUP(G325,业务功能_系统接口!$B$6:$H$1416,4,FALSE))</f>
        <v/>
      </c>
    </row>
    <row r="326" spans="3:10">
      <c r="C326" s="8"/>
      <c r="H326" s="9" t="str">
        <f>IF(G326="","",VLOOKUP(G326,业务功能_系统接口!$B$6:$H$1416,2,FALSE))</f>
        <v/>
      </c>
      <c r="I326" s="9" t="str">
        <f>IF(G326="","",VLOOKUP(G326,业务功能_系统接口!$B$6:$H$1416,3,FALSE))</f>
        <v/>
      </c>
      <c r="J326" s="9" t="str">
        <f>IF(G326="","",VLOOKUP(G326,业务功能_系统接口!$B$6:$H$1416,4,FALSE))</f>
        <v/>
      </c>
    </row>
    <row r="327" spans="3:10">
      <c r="C327" s="8"/>
      <c r="H327" s="9" t="str">
        <f>IF(G327="","",VLOOKUP(G327,业务功能_系统接口!$B$6:$H$1416,2,FALSE))</f>
        <v/>
      </c>
      <c r="I327" s="9" t="str">
        <f>IF(G327="","",VLOOKUP(G327,业务功能_系统接口!$B$6:$H$1416,3,FALSE))</f>
        <v/>
      </c>
      <c r="J327" s="9" t="str">
        <f>IF(G327="","",VLOOKUP(G327,业务功能_系统接口!$B$6:$H$1416,4,FALSE))</f>
        <v/>
      </c>
    </row>
    <row r="328" spans="3:10">
      <c r="C328" s="8"/>
      <c r="H328" s="9" t="str">
        <f>IF(G328="","",VLOOKUP(G328,业务功能_系统接口!$B$6:$H$1416,2,FALSE))</f>
        <v/>
      </c>
      <c r="I328" s="9" t="str">
        <f>IF(G328="","",VLOOKUP(G328,业务功能_系统接口!$B$6:$H$1416,3,FALSE))</f>
        <v/>
      </c>
      <c r="J328" s="9" t="str">
        <f>IF(G328="","",VLOOKUP(G328,业务功能_系统接口!$B$6:$H$1416,4,FALSE))</f>
        <v/>
      </c>
    </row>
    <row r="329" spans="3:10">
      <c r="C329" s="8"/>
      <c r="H329" s="9" t="str">
        <f>IF(G329="","",VLOOKUP(G329,业务功能_系统接口!$B$6:$H$1416,2,FALSE))</f>
        <v/>
      </c>
      <c r="I329" s="9" t="str">
        <f>IF(G329="","",VLOOKUP(G329,业务功能_系统接口!$B$6:$H$1416,3,FALSE))</f>
        <v/>
      </c>
      <c r="J329" s="9" t="str">
        <f>IF(G329="","",VLOOKUP(G329,业务功能_系统接口!$B$6:$H$1416,4,FALSE))</f>
        <v/>
      </c>
    </row>
    <row r="330" spans="3:10">
      <c r="C330" s="8"/>
      <c r="H330" s="9" t="str">
        <f>IF(G330="","",VLOOKUP(G330,业务功能_系统接口!$B$6:$H$1416,2,FALSE))</f>
        <v/>
      </c>
      <c r="I330" s="9" t="str">
        <f>IF(G330="","",VLOOKUP(G330,业务功能_系统接口!$B$6:$H$1416,3,FALSE))</f>
        <v/>
      </c>
      <c r="J330" s="9" t="str">
        <f>IF(G330="","",VLOOKUP(G330,业务功能_系统接口!$B$6:$H$1416,4,FALSE))</f>
        <v/>
      </c>
    </row>
    <row r="331" spans="3:10">
      <c r="C331" s="8"/>
      <c r="H331" s="9" t="str">
        <f>IF(G331="","",VLOOKUP(G331,业务功能_系统接口!$B$6:$H$1416,2,FALSE))</f>
        <v/>
      </c>
      <c r="I331" s="9" t="str">
        <f>IF(G331="","",VLOOKUP(G331,业务功能_系统接口!$B$6:$H$1416,3,FALSE))</f>
        <v/>
      </c>
      <c r="J331" s="9" t="str">
        <f>IF(G331="","",VLOOKUP(G331,业务功能_系统接口!$B$6:$H$1416,4,FALSE))</f>
        <v/>
      </c>
    </row>
    <row r="332" spans="3:10">
      <c r="C332" s="8"/>
      <c r="H332" s="9" t="str">
        <f>IF(G332="","",VLOOKUP(G332,业务功能_系统接口!$B$6:$H$1416,2,FALSE))</f>
        <v/>
      </c>
      <c r="I332" s="9" t="str">
        <f>IF(G332="","",VLOOKUP(G332,业务功能_系统接口!$B$6:$H$1416,3,FALSE))</f>
        <v/>
      </c>
      <c r="J332" s="9" t="str">
        <f>IF(G332="","",VLOOKUP(G332,业务功能_系统接口!$B$6:$H$1416,4,FALSE))</f>
        <v/>
      </c>
    </row>
    <row r="333" spans="3:10">
      <c r="C333" s="8"/>
      <c r="H333" s="9" t="str">
        <f>IF(G333="","",VLOOKUP(G333,业务功能_系统接口!$B$6:$H$1416,2,FALSE))</f>
        <v/>
      </c>
      <c r="I333" s="9" t="str">
        <f>IF(G333="","",VLOOKUP(G333,业务功能_系统接口!$B$6:$H$1416,3,FALSE))</f>
        <v/>
      </c>
      <c r="J333" s="9" t="str">
        <f>IF(G333="","",VLOOKUP(G333,业务功能_系统接口!$B$6:$H$1416,4,FALSE))</f>
        <v/>
      </c>
    </row>
    <row r="334" spans="3:10">
      <c r="C334" s="8"/>
      <c r="H334" s="9" t="str">
        <f>IF(G334="","",VLOOKUP(G334,业务功能_系统接口!$B$6:$H$1416,2,FALSE))</f>
        <v/>
      </c>
      <c r="I334" s="9" t="str">
        <f>IF(G334="","",VLOOKUP(G334,业务功能_系统接口!$B$6:$H$1416,3,FALSE))</f>
        <v/>
      </c>
      <c r="J334" s="9" t="str">
        <f>IF(G334="","",VLOOKUP(G334,业务功能_系统接口!$B$6:$H$1416,4,FALSE))</f>
        <v/>
      </c>
    </row>
    <row r="335" spans="3:10">
      <c r="C335" s="8"/>
      <c r="H335" s="9" t="str">
        <f>IF(G335="","",VLOOKUP(G335,业务功能_系统接口!$B$6:$H$1416,2,FALSE))</f>
        <v/>
      </c>
      <c r="I335" s="9" t="str">
        <f>IF(G335="","",VLOOKUP(G335,业务功能_系统接口!$B$6:$H$1416,3,FALSE))</f>
        <v/>
      </c>
      <c r="J335" s="9" t="str">
        <f>IF(G335="","",VLOOKUP(G335,业务功能_系统接口!$B$6:$H$1416,4,FALSE))</f>
        <v/>
      </c>
    </row>
    <row r="336" spans="3:10">
      <c r="C336" s="8"/>
      <c r="H336" s="9" t="str">
        <f>IF(G336="","",VLOOKUP(G336,业务功能_系统接口!$B$6:$H$1416,2,FALSE))</f>
        <v/>
      </c>
      <c r="I336" s="9" t="str">
        <f>IF(G336="","",VLOOKUP(G336,业务功能_系统接口!$B$6:$H$1416,3,FALSE))</f>
        <v/>
      </c>
      <c r="J336" s="9" t="str">
        <f>IF(G336="","",VLOOKUP(G336,业务功能_系统接口!$B$6:$H$1416,4,FALSE))</f>
        <v/>
      </c>
    </row>
    <row r="337" spans="3:10">
      <c r="C337" s="8"/>
      <c r="H337" s="9" t="str">
        <f>IF(G337="","",VLOOKUP(G337,业务功能_系统接口!$B$6:$H$1416,2,FALSE))</f>
        <v/>
      </c>
      <c r="I337" s="9" t="str">
        <f>IF(G337="","",VLOOKUP(G337,业务功能_系统接口!$B$6:$H$1416,3,FALSE))</f>
        <v/>
      </c>
      <c r="J337" s="9" t="str">
        <f>IF(G337="","",VLOOKUP(G337,业务功能_系统接口!$B$6:$H$1416,4,FALSE))</f>
        <v/>
      </c>
    </row>
    <row r="338" spans="3:10">
      <c r="C338" s="8"/>
      <c r="H338" s="9" t="str">
        <f>IF(G338="","",VLOOKUP(G338,业务功能_系统接口!$B$6:$H$1416,2,FALSE))</f>
        <v/>
      </c>
      <c r="I338" s="9" t="str">
        <f>IF(G338="","",VLOOKUP(G338,业务功能_系统接口!$B$6:$H$1416,3,FALSE))</f>
        <v/>
      </c>
      <c r="J338" s="9" t="str">
        <f>IF(G338="","",VLOOKUP(G338,业务功能_系统接口!$B$6:$H$1416,4,FALSE))</f>
        <v/>
      </c>
    </row>
    <row r="339" spans="3:10">
      <c r="C339" s="8"/>
      <c r="H339" s="9" t="str">
        <f>IF(G339="","",VLOOKUP(G339,业务功能_系统接口!$B$6:$H$1416,2,FALSE))</f>
        <v/>
      </c>
      <c r="I339" s="9" t="str">
        <f>IF(G339="","",VLOOKUP(G339,业务功能_系统接口!$B$6:$H$1416,3,FALSE))</f>
        <v/>
      </c>
      <c r="J339" s="9" t="str">
        <f>IF(G339="","",VLOOKUP(G339,业务功能_系统接口!$B$6:$H$1416,4,FALSE))</f>
        <v/>
      </c>
    </row>
    <row r="340" spans="3:10">
      <c r="C340" s="8"/>
      <c r="H340" s="9" t="str">
        <f>IF(G340="","",VLOOKUP(G340,业务功能_系统接口!$B$6:$H$1416,2,FALSE))</f>
        <v/>
      </c>
      <c r="I340" s="9" t="str">
        <f>IF(G340="","",VLOOKUP(G340,业务功能_系统接口!$B$6:$H$1416,3,FALSE))</f>
        <v/>
      </c>
      <c r="J340" s="9" t="str">
        <f>IF(G340="","",VLOOKUP(G340,业务功能_系统接口!$B$6:$H$1416,4,FALSE))</f>
        <v/>
      </c>
    </row>
    <row r="341" spans="3:10">
      <c r="C341" s="8"/>
      <c r="H341" s="9" t="str">
        <f>IF(G341="","",VLOOKUP(G341,业务功能_系统接口!$B$6:$H$1416,2,FALSE))</f>
        <v/>
      </c>
      <c r="I341" s="9" t="str">
        <f>IF(G341="","",VLOOKUP(G341,业务功能_系统接口!$B$6:$H$1416,3,FALSE))</f>
        <v/>
      </c>
      <c r="J341" s="9" t="str">
        <f>IF(G341="","",VLOOKUP(G341,业务功能_系统接口!$B$6:$H$1416,4,FALSE))</f>
        <v/>
      </c>
    </row>
    <row r="342" spans="3:10">
      <c r="C342" s="8"/>
      <c r="H342" s="9" t="str">
        <f>IF(G342="","",VLOOKUP(G342,业务功能_系统接口!$B$6:$H$1416,2,FALSE))</f>
        <v/>
      </c>
      <c r="I342" s="9" t="str">
        <f>IF(G342="","",VLOOKUP(G342,业务功能_系统接口!$B$6:$H$1416,3,FALSE))</f>
        <v/>
      </c>
      <c r="J342" s="9" t="str">
        <f>IF(G342="","",VLOOKUP(G342,业务功能_系统接口!$B$6:$H$1416,4,FALSE))</f>
        <v/>
      </c>
    </row>
    <row r="343" spans="3:10">
      <c r="C343" s="8"/>
      <c r="H343" s="9" t="str">
        <f>IF(G343="","",VLOOKUP(G343,业务功能_系统接口!$B$6:$H$1416,2,FALSE))</f>
        <v/>
      </c>
      <c r="I343" s="9" t="str">
        <f>IF(G343="","",VLOOKUP(G343,业务功能_系统接口!$B$6:$H$1416,3,FALSE))</f>
        <v/>
      </c>
      <c r="J343" s="9" t="str">
        <f>IF(G343="","",VLOOKUP(G343,业务功能_系统接口!$B$6:$H$1416,4,FALSE))</f>
        <v/>
      </c>
    </row>
    <row r="344" spans="3:10">
      <c r="C344" s="8"/>
      <c r="H344" s="9" t="str">
        <f>IF(G344="","",VLOOKUP(G344,业务功能_系统接口!$B$6:$H$1416,2,FALSE))</f>
        <v/>
      </c>
      <c r="I344" s="9" t="str">
        <f>IF(G344="","",VLOOKUP(G344,业务功能_系统接口!$B$6:$H$1416,3,FALSE))</f>
        <v/>
      </c>
      <c r="J344" s="9" t="str">
        <f>IF(G344="","",VLOOKUP(G344,业务功能_系统接口!$B$6:$H$1416,4,FALSE))</f>
        <v/>
      </c>
    </row>
    <row r="345" spans="3:10">
      <c r="C345" s="8"/>
      <c r="H345" s="9" t="str">
        <f>IF(G345="","",VLOOKUP(G345,业务功能_系统接口!$B$6:$H$1416,2,FALSE))</f>
        <v/>
      </c>
      <c r="I345" s="9" t="str">
        <f>IF(G345="","",VLOOKUP(G345,业务功能_系统接口!$B$6:$H$1416,3,FALSE))</f>
        <v/>
      </c>
      <c r="J345" s="9" t="str">
        <f>IF(G345="","",VLOOKUP(G345,业务功能_系统接口!$B$6:$H$1416,4,FALSE))</f>
        <v/>
      </c>
    </row>
    <row r="346" spans="3:10">
      <c r="C346" s="8"/>
      <c r="H346" s="9" t="str">
        <f>IF(G346="","",VLOOKUP(G346,业务功能_系统接口!$B$6:$H$1416,2,FALSE))</f>
        <v/>
      </c>
      <c r="I346" s="9" t="str">
        <f>IF(G346="","",VLOOKUP(G346,业务功能_系统接口!$B$6:$H$1416,3,FALSE))</f>
        <v/>
      </c>
      <c r="J346" s="9" t="str">
        <f>IF(G346="","",VLOOKUP(G346,业务功能_系统接口!$B$6:$H$1416,4,FALSE))</f>
        <v/>
      </c>
    </row>
    <row r="347" spans="3:10">
      <c r="C347" s="8"/>
      <c r="H347" s="9" t="str">
        <f>IF(G347="","",VLOOKUP(G347,业务功能_系统接口!$B$6:$H$1416,2,FALSE))</f>
        <v/>
      </c>
      <c r="I347" s="9" t="str">
        <f>IF(G347="","",VLOOKUP(G347,业务功能_系统接口!$B$6:$H$1416,3,FALSE))</f>
        <v/>
      </c>
      <c r="J347" s="9" t="str">
        <f>IF(G347="","",VLOOKUP(G347,业务功能_系统接口!$B$6:$H$1416,4,FALSE))</f>
        <v/>
      </c>
    </row>
    <row r="348" spans="3:10">
      <c r="C348" s="8"/>
      <c r="H348" s="9" t="str">
        <f>IF(G348="","",VLOOKUP(G348,业务功能_系统接口!$B$6:$H$1416,2,FALSE))</f>
        <v/>
      </c>
      <c r="I348" s="9" t="str">
        <f>IF(G348="","",VLOOKUP(G348,业务功能_系统接口!$B$6:$H$1416,3,FALSE))</f>
        <v/>
      </c>
      <c r="J348" s="9" t="str">
        <f>IF(G348="","",VLOOKUP(G348,业务功能_系统接口!$B$6:$H$1416,4,FALSE))</f>
        <v/>
      </c>
    </row>
    <row r="349" spans="3:10">
      <c r="C349" s="8"/>
      <c r="H349" s="9" t="str">
        <f>IF(G349="","",VLOOKUP(G349,业务功能_系统接口!$B$6:$H$1416,2,FALSE))</f>
        <v/>
      </c>
      <c r="I349" s="9" t="str">
        <f>IF(G349="","",VLOOKUP(G349,业务功能_系统接口!$B$6:$H$1416,3,FALSE))</f>
        <v/>
      </c>
      <c r="J349" s="9" t="str">
        <f>IF(G349="","",VLOOKUP(G349,业务功能_系统接口!$B$6:$H$1416,4,FALSE))</f>
        <v/>
      </c>
    </row>
    <row r="350" spans="3:10">
      <c r="C350" s="8"/>
      <c r="H350" s="9" t="str">
        <f>IF(G350="","",VLOOKUP(G350,业务功能_系统接口!$B$6:$H$1416,2,FALSE))</f>
        <v/>
      </c>
      <c r="I350" s="9" t="str">
        <f>IF(G350="","",VLOOKUP(G350,业务功能_系统接口!$B$6:$H$1416,3,FALSE))</f>
        <v/>
      </c>
      <c r="J350" s="9" t="str">
        <f>IF(G350="","",VLOOKUP(G350,业务功能_系统接口!$B$6:$H$1416,4,FALSE))</f>
        <v/>
      </c>
    </row>
    <row r="351" spans="3:10">
      <c r="C351" s="8"/>
      <c r="H351" s="9" t="str">
        <f>IF(G351="","",VLOOKUP(G351,业务功能_系统接口!$B$6:$H$1416,2,FALSE))</f>
        <v/>
      </c>
      <c r="I351" s="9" t="str">
        <f>IF(G351="","",VLOOKUP(G351,业务功能_系统接口!$B$6:$H$1416,3,FALSE))</f>
        <v/>
      </c>
      <c r="J351" s="9" t="str">
        <f>IF(G351="","",VLOOKUP(G351,业务功能_系统接口!$B$6:$H$1416,4,FALSE))</f>
        <v/>
      </c>
    </row>
    <row r="352" spans="3:10">
      <c r="C352" s="8"/>
      <c r="H352" s="9" t="str">
        <f>IF(G352="","",VLOOKUP(G352,业务功能_系统接口!$B$6:$H$1416,2,FALSE))</f>
        <v/>
      </c>
      <c r="I352" s="9" t="str">
        <f>IF(G352="","",VLOOKUP(G352,业务功能_系统接口!$B$6:$H$1416,3,FALSE))</f>
        <v/>
      </c>
      <c r="J352" s="9" t="str">
        <f>IF(G352="","",VLOOKUP(G352,业务功能_系统接口!$B$6:$H$1416,4,FALSE))</f>
        <v/>
      </c>
    </row>
    <row r="353" spans="3:10">
      <c r="C353" s="8"/>
      <c r="H353" s="9" t="str">
        <f>IF(G353="","",VLOOKUP(G353,业务功能_系统接口!$B$6:$H$1416,2,FALSE))</f>
        <v/>
      </c>
      <c r="I353" s="9" t="str">
        <f>IF(G353="","",VLOOKUP(G353,业务功能_系统接口!$B$6:$H$1416,3,FALSE))</f>
        <v/>
      </c>
      <c r="J353" s="9" t="str">
        <f>IF(G353="","",VLOOKUP(G353,业务功能_系统接口!$B$6:$H$1416,4,FALSE))</f>
        <v/>
      </c>
    </row>
    <row r="354" spans="3:10">
      <c r="C354" s="8"/>
      <c r="H354" s="9" t="str">
        <f>IF(G354="","",VLOOKUP(G354,业务功能_系统接口!$B$6:$H$1416,2,FALSE))</f>
        <v/>
      </c>
      <c r="I354" s="9" t="str">
        <f>IF(G354="","",VLOOKUP(G354,业务功能_系统接口!$B$6:$H$1416,3,FALSE))</f>
        <v/>
      </c>
      <c r="J354" s="9" t="str">
        <f>IF(G354="","",VLOOKUP(G354,业务功能_系统接口!$B$6:$H$1416,4,FALSE))</f>
        <v/>
      </c>
    </row>
    <row r="355" spans="3:10">
      <c r="C355" s="8"/>
      <c r="H355" s="9" t="str">
        <f>IF(G355="","",VLOOKUP(G355,业务功能_系统接口!$B$6:$H$1416,2,FALSE))</f>
        <v/>
      </c>
      <c r="I355" s="9" t="str">
        <f>IF(G355="","",VLOOKUP(G355,业务功能_系统接口!$B$6:$H$1416,3,FALSE))</f>
        <v/>
      </c>
      <c r="J355" s="9" t="str">
        <f>IF(G355="","",VLOOKUP(G355,业务功能_系统接口!$B$6:$H$1416,4,FALSE))</f>
        <v/>
      </c>
    </row>
    <row r="356" spans="3:10">
      <c r="C356" s="8"/>
      <c r="H356" s="9" t="str">
        <f>IF(G356="","",VLOOKUP(G356,业务功能_系统接口!$B$6:$H$1416,2,FALSE))</f>
        <v/>
      </c>
      <c r="I356" s="9" t="str">
        <f>IF(G356="","",VLOOKUP(G356,业务功能_系统接口!$B$6:$H$1416,3,FALSE))</f>
        <v/>
      </c>
      <c r="J356" s="9" t="str">
        <f>IF(G356="","",VLOOKUP(G356,业务功能_系统接口!$B$6:$H$1416,4,FALSE))</f>
        <v/>
      </c>
    </row>
    <row r="357" spans="3:10">
      <c r="C357" s="8"/>
      <c r="H357" s="9" t="str">
        <f>IF(G357="","",VLOOKUP(G357,业务功能_系统接口!$B$6:$H$1416,2,FALSE))</f>
        <v/>
      </c>
      <c r="I357" s="9" t="str">
        <f>IF(G357="","",VLOOKUP(G357,业务功能_系统接口!$B$6:$H$1416,3,FALSE))</f>
        <v/>
      </c>
      <c r="J357" s="9" t="str">
        <f>IF(G357="","",VLOOKUP(G357,业务功能_系统接口!$B$6:$H$1416,4,FALSE))</f>
        <v/>
      </c>
    </row>
    <row r="358" spans="3:10">
      <c r="C358" s="8"/>
      <c r="H358" s="9" t="str">
        <f>IF(G358="","",VLOOKUP(G358,业务功能_系统接口!$B$6:$H$1416,2,FALSE))</f>
        <v/>
      </c>
      <c r="I358" s="9" t="str">
        <f>IF(G358="","",VLOOKUP(G358,业务功能_系统接口!$B$6:$H$1416,3,FALSE))</f>
        <v/>
      </c>
      <c r="J358" s="9" t="str">
        <f>IF(G358="","",VLOOKUP(G358,业务功能_系统接口!$B$6:$H$1416,4,FALSE))</f>
        <v/>
      </c>
    </row>
    <row r="359" spans="3:10">
      <c r="C359" s="8"/>
      <c r="H359" s="9" t="str">
        <f>IF(G359="","",VLOOKUP(G359,业务功能_系统接口!$B$6:$H$1416,2,FALSE))</f>
        <v/>
      </c>
      <c r="I359" s="9" t="str">
        <f>IF(G359="","",VLOOKUP(G359,业务功能_系统接口!$B$6:$H$1416,3,FALSE))</f>
        <v/>
      </c>
      <c r="J359" s="9" t="str">
        <f>IF(G359="","",VLOOKUP(G359,业务功能_系统接口!$B$6:$H$1416,4,FALSE))</f>
        <v/>
      </c>
    </row>
    <row r="360" spans="3:10">
      <c r="C360" s="8"/>
      <c r="H360" s="9" t="str">
        <f>IF(G360="","",VLOOKUP(G360,业务功能_系统接口!$B$6:$H$1416,2,FALSE))</f>
        <v/>
      </c>
      <c r="I360" s="9" t="str">
        <f>IF(G360="","",VLOOKUP(G360,业务功能_系统接口!$B$6:$H$1416,3,FALSE))</f>
        <v/>
      </c>
      <c r="J360" s="9" t="str">
        <f>IF(G360="","",VLOOKUP(G360,业务功能_系统接口!$B$6:$H$1416,4,FALSE))</f>
        <v/>
      </c>
    </row>
    <row r="361" spans="3:10">
      <c r="C361" s="8"/>
      <c r="H361" s="9" t="str">
        <f>IF(G361="","",VLOOKUP(G361,业务功能_系统接口!$B$6:$H$1416,2,FALSE))</f>
        <v/>
      </c>
      <c r="I361" s="9" t="str">
        <f>IF(G361="","",VLOOKUP(G361,业务功能_系统接口!$B$6:$H$1416,3,FALSE))</f>
        <v/>
      </c>
      <c r="J361" s="9" t="str">
        <f>IF(G361="","",VLOOKUP(G361,业务功能_系统接口!$B$6:$H$1416,4,FALSE))</f>
        <v/>
      </c>
    </row>
    <row r="362" spans="3:10">
      <c r="C362" s="8"/>
      <c r="H362" s="9" t="str">
        <f>IF(G362="","",VLOOKUP(G362,业务功能_系统接口!$B$6:$H$1416,2,FALSE))</f>
        <v/>
      </c>
      <c r="I362" s="9" t="str">
        <f>IF(G362="","",VLOOKUP(G362,业务功能_系统接口!$B$6:$H$1416,3,FALSE))</f>
        <v/>
      </c>
      <c r="J362" s="9" t="str">
        <f>IF(G362="","",VLOOKUP(G362,业务功能_系统接口!$B$6:$H$1416,4,FALSE))</f>
        <v/>
      </c>
    </row>
    <row r="363" spans="3:10">
      <c r="C363" s="8"/>
      <c r="H363" s="9" t="str">
        <f>IF(G363="","",VLOOKUP(G363,业务功能_系统接口!$B$6:$H$1416,2,FALSE))</f>
        <v/>
      </c>
      <c r="I363" s="9" t="str">
        <f>IF(G363="","",VLOOKUP(G363,业务功能_系统接口!$B$6:$H$1416,3,FALSE))</f>
        <v/>
      </c>
      <c r="J363" s="9" t="str">
        <f>IF(G363="","",VLOOKUP(G363,业务功能_系统接口!$B$6:$H$1416,4,FALSE))</f>
        <v/>
      </c>
    </row>
    <row r="364" spans="3:10">
      <c r="C364" s="8"/>
      <c r="H364" s="9" t="str">
        <f>IF(G364="","",VLOOKUP(G364,业务功能_系统接口!$B$6:$H$1416,2,FALSE))</f>
        <v/>
      </c>
      <c r="I364" s="9" t="str">
        <f>IF(G364="","",VLOOKUP(G364,业务功能_系统接口!$B$6:$H$1416,3,FALSE))</f>
        <v/>
      </c>
      <c r="J364" s="9" t="str">
        <f>IF(G364="","",VLOOKUP(G364,业务功能_系统接口!$B$6:$H$1416,4,FALSE))</f>
        <v/>
      </c>
    </row>
    <row r="365" spans="3:10">
      <c r="C365" s="8"/>
      <c r="H365" s="9" t="str">
        <f>IF(G365="","",VLOOKUP(G365,业务功能_系统接口!$B$6:$H$1416,2,FALSE))</f>
        <v/>
      </c>
      <c r="I365" s="9" t="str">
        <f>IF(G365="","",VLOOKUP(G365,业务功能_系统接口!$B$6:$H$1416,3,FALSE))</f>
        <v/>
      </c>
      <c r="J365" s="9" t="str">
        <f>IF(G365="","",VLOOKUP(G365,业务功能_系统接口!$B$6:$H$1416,4,FALSE))</f>
        <v/>
      </c>
    </row>
    <row r="366" spans="3:10">
      <c r="C366" s="8"/>
      <c r="H366" s="9" t="str">
        <f>IF(G366="","",VLOOKUP(G366,业务功能_系统接口!$B$6:$H$1416,2,FALSE))</f>
        <v/>
      </c>
      <c r="I366" s="9" t="str">
        <f>IF(G366="","",VLOOKUP(G366,业务功能_系统接口!$B$6:$H$1416,3,FALSE))</f>
        <v/>
      </c>
      <c r="J366" s="9" t="str">
        <f>IF(G366="","",VLOOKUP(G366,业务功能_系统接口!$B$6:$H$1416,4,FALSE))</f>
        <v/>
      </c>
    </row>
    <row r="367" spans="3:10">
      <c r="C367" s="8"/>
      <c r="H367" s="9" t="str">
        <f>IF(G367="","",VLOOKUP(G367,业务功能_系统接口!$B$6:$H$1416,2,FALSE))</f>
        <v/>
      </c>
      <c r="I367" s="9" t="str">
        <f>IF(G367="","",VLOOKUP(G367,业务功能_系统接口!$B$6:$H$1416,3,FALSE))</f>
        <v/>
      </c>
      <c r="J367" s="9" t="str">
        <f>IF(G367="","",VLOOKUP(G367,业务功能_系统接口!$B$6:$H$1416,4,FALSE))</f>
        <v/>
      </c>
    </row>
    <row r="368" spans="3:10">
      <c r="C368" s="8"/>
      <c r="H368" s="9" t="str">
        <f>IF(G368="","",VLOOKUP(G368,业务功能_系统接口!$B$6:$H$1416,2,FALSE))</f>
        <v/>
      </c>
      <c r="I368" s="9" t="str">
        <f>IF(G368="","",VLOOKUP(G368,业务功能_系统接口!$B$6:$H$1416,3,FALSE))</f>
        <v/>
      </c>
      <c r="J368" s="9" t="str">
        <f>IF(G368="","",VLOOKUP(G368,业务功能_系统接口!$B$6:$H$1416,4,FALSE))</f>
        <v/>
      </c>
    </row>
    <row r="369" spans="3:10">
      <c r="C369" s="8"/>
      <c r="H369" s="9" t="str">
        <f>IF(G369="","",VLOOKUP(G369,业务功能_系统接口!$B$6:$H$1416,2,FALSE))</f>
        <v/>
      </c>
      <c r="I369" s="9" t="str">
        <f>IF(G369="","",VLOOKUP(G369,业务功能_系统接口!$B$6:$H$1416,3,FALSE))</f>
        <v/>
      </c>
      <c r="J369" s="9" t="str">
        <f>IF(G369="","",VLOOKUP(G369,业务功能_系统接口!$B$6:$H$1416,4,FALSE))</f>
        <v/>
      </c>
    </row>
    <row r="370" spans="3:10">
      <c r="C370" s="8"/>
      <c r="H370" s="9" t="str">
        <f>IF(G370="","",VLOOKUP(G370,业务功能_系统接口!$B$6:$H$1416,2,FALSE))</f>
        <v/>
      </c>
      <c r="I370" s="9" t="str">
        <f>IF(G370="","",VLOOKUP(G370,业务功能_系统接口!$B$6:$H$1416,3,FALSE))</f>
        <v/>
      </c>
      <c r="J370" s="9" t="str">
        <f>IF(G370="","",VLOOKUP(G370,业务功能_系统接口!$B$6:$H$1416,4,FALSE))</f>
        <v/>
      </c>
    </row>
    <row r="371" spans="3:10">
      <c r="C371" s="8"/>
      <c r="H371" s="9" t="str">
        <f>IF(G371="","",VLOOKUP(G371,业务功能_系统接口!$B$6:$H$1416,2,FALSE))</f>
        <v/>
      </c>
      <c r="I371" s="9" t="str">
        <f>IF(G371="","",VLOOKUP(G371,业务功能_系统接口!$B$6:$H$1416,3,FALSE))</f>
        <v/>
      </c>
      <c r="J371" s="9" t="str">
        <f>IF(G371="","",VLOOKUP(G371,业务功能_系统接口!$B$6:$H$1416,4,FALSE))</f>
        <v/>
      </c>
    </row>
    <row r="372" spans="3:10">
      <c r="C372" s="8"/>
      <c r="H372" s="9" t="str">
        <f>IF(G372="","",VLOOKUP(G372,业务功能_系统接口!$B$6:$H$1416,2,FALSE))</f>
        <v/>
      </c>
      <c r="I372" s="9" t="str">
        <f>IF(G372="","",VLOOKUP(G372,业务功能_系统接口!$B$6:$H$1416,3,FALSE))</f>
        <v/>
      </c>
      <c r="J372" s="9" t="str">
        <f>IF(G372="","",VLOOKUP(G372,业务功能_系统接口!$B$6:$H$1416,4,FALSE))</f>
        <v/>
      </c>
    </row>
    <row r="373" spans="3:10">
      <c r="C373" s="8"/>
      <c r="H373" s="9" t="str">
        <f>IF(G373="","",VLOOKUP(G373,业务功能_系统接口!$B$6:$H$1416,2,FALSE))</f>
        <v/>
      </c>
      <c r="I373" s="9" t="str">
        <f>IF(G373="","",VLOOKUP(G373,业务功能_系统接口!$B$6:$H$1416,3,FALSE))</f>
        <v/>
      </c>
      <c r="J373" s="9" t="str">
        <f>IF(G373="","",VLOOKUP(G373,业务功能_系统接口!$B$6:$H$1416,4,FALSE))</f>
        <v/>
      </c>
    </row>
    <row r="374" spans="3:10">
      <c r="C374" s="8"/>
      <c r="H374" s="9" t="str">
        <f>IF(G374="","",VLOOKUP(G374,业务功能_系统接口!$B$6:$H$1416,2,FALSE))</f>
        <v/>
      </c>
      <c r="I374" s="9" t="str">
        <f>IF(G374="","",VLOOKUP(G374,业务功能_系统接口!$B$6:$H$1416,3,FALSE))</f>
        <v/>
      </c>
      <c r="J374" s="9" t="str">
        <f>IF(G374="","",VLOOKUP(G374,业务功能_系统接口!$B$6:$H$1416,4,FALSE))</f>
        <v/>
      </c>
    </row>
    <row r="375" spans="3:10">
      <c r="C375" s="8"/>
      <c r="H375" s="9" t="str">
        <f>IF(G375="","",VLOOKUP(G375,业务功能_系统接口!$B$6:$H$1416,2,FALSE))</f>
        <v/>
      </c>
      <c r="I375" s="9" t="str">
        <f>IF(G375="","",VLOOKUP(G375,业务功能_系统接口!$B$6:$H$1416,3,FALSE))</f>
        <v/>
      </c>
      <c r="J375" s="9" t="str">
        <f>IF(G375="","",VLOOKUP(G375,业务功能_系统接口!$B$6:$H$1416,4,FALSE))</f>
        <v/>
      </c>
    </row>
    <row r="376" spans="3:10">
      <c r="C376" s="8"/>
      <c r="H376" s="9" t="str">
        <f>IF(G376="","",VLOOKUP(G376,业务功能_系统接口!$B$6:$H$1416,2,FALSE))</f>
        <v/>
      </c>
      <c r="I376" s="9" t="str">
        <f>IF(G376="","",VLOOKUP(G376,业务功能_系统接口!$B$6:$H$1416,3,FALSE))</f>
        <v/>
      </c>
      <c r="J376" s="9" t="str">
        <f>IF(G376="","",VLOOKUP(G376,业务功能_系统接口!$B$6:$H$1416,4,FALSE))</f>
        <v/>
      </c>
    </row>
    <row r="377" spans="3:10">
      <c r="C377" s="8"/>
      <c r="H377" s="9" t="str">
        <f>IF(G377="","",VLOOKUP(G377,业务功能_系统接口!$B$6:$H$1416,2,FALSE))</f>
        <v/>
      </c>
      <c r="I377" s="9" t="str">
        <f>IF(G377="","",VLOOKUP(G377,业务功能_系统接口!$B$6:$H$1416,3,FALSE))</f>
        <v/>
      </c>
      <c r="J377" s="9" t="str">
        <f>IF(G377="","",VLOOKUP(G377,业务功能_系统接口!$B$6:$H$1416,4,FALSE))</f>
        <v/>
      </c>
    </row>
    <row r="378" spans="3:10">
      <c r="C378" s="8"/>
      <c r="H378" s="9" t="str">
        <f>IF(G378="","",VLOOKUP(G378,业务功能_系统接口!$B$6:$H$1416,2,FALSE))</f>
        <v/>
      </c>
      <c r="I378" s="9" t="str">
        <f>IF(G378="","",VLOOKUP(G378,业务功能_系统接口!$B$6:$H$1416,3,FALSE))</f>
        <v/>
      </c>
      <c r="J378" s="9" t="str">
        <f>IF(G378="","",VLOOKUP(G378,业务功能_系统接口!$B$6:$H$1416,4,FALSE))</f>
        <v/>
      </c>
    </row>
    <row r="379" spans="3:10">
      <c r="C379" s="8"/>
      <c r="H379" s="9" t="str">
        <f>IF(G379="","",VLOOKUP(G379,业务功能_系统接口!$B$6:$H$1416,2,FALSE))</f>
        <v/>
      </c>
      <c r="I379" s="9" t="str">
        <f>IF(G379="","",VLOOKUP(G379,业务功能_系统接口!$B$6:$H$1416,3,FALSE))</f>
        <v/>
      </c>
      <c r="J379" s="9" t="str">
        <f>IF(G379="","",VLOOKUP(G379,业务功能_系统接口!$B$6:$H$1416,4,FALSE))</f>
        <v/>
      </c>
    </row>
    <row r="380" spans="3:10">
      <c r="C380" s="8"/>
      <c r="H380" s="9" t="str">
        <f>IF(G380="","",VLOOKUP(G380,业务功能_系统接口!$B$6:$H$1416,2,FALSE))</f>
        <v/>
      </c>
      <c r="I380" s="9" t="str">
        <f>IF(G380="","",VLOOKUP(G380,业务功能_系统接口!$B$6:$H$1416,3,FALSE))</f>
        <v/>
      </c>
      <c r="J380" s="9" t="str">
        <f>IF(G380="","",VLOOKUP(G380,业务功能_系统接口!$B$6:$H$1416,4,FALSE))</f>
        <v/>
      </c>
    </row>
    <row r="381" spans="3:10">
      <c r="C381" s="8"/>
      <c r="H381" s="9" t="str">
        <f>IF(G381="","",VLOOKUP(G381,业务功能_系统接口!$B$6:$H$1416,2,FALSE))</f>
        <v/>
      </c>
      <c r="I381" s="9" t="str">
        <f>IF(G381="","",VLOOKUP(G381,业务功能_系统接口!$B$6:$H$1416,3,FALSE))</f>
        <v/>
      </c>
      <c r="J381" s="9" t="str">
        <f>IF(G381="","",VLOOKUP(G381,业务功能_系统接口!$B$6:$H$1416,4,FALSE))</f>
        <v/>
      </c>
    </row>
    <row r="382" spans="3:10">
      <c r="C382" s="8"/>
      <c r="H382" s="9" t="str">
        <f>IF(G382="","",VLOOKUP(G382,业务功能_系统接口!$B$6:$H$1416,2,FALSE))</f>
        <v/>
      </c>
      <c r="I382" s="9" t="str">
        <f>IF(G382="","",VLOOKUP(G382,业务功能_系统接口!$B$6:$H$1416,3,FALSE))</f>
        <v/>
      </c>
      <c r="J382" s="9" t="str">
        <f>IF(G382="","",VLOOKUP(G382,业务功能_系统接口!$B$6:$H$1416,4,FALSE))</f>
        <v/>
      </c>
    </row>
    <row r="383" spans="3:10">
      <c r="C383" s="8"/>
      <c r="H383" s="9" t="str">
        <f>IF(G383="","",VLOOKUP(G383,业务功能_系统接口!$B$6:$H$1416,2,FALSE))</f>
        <v/>
      </c>
      <c r="I383" s="9" t="str">
        <f>IF(G383="","",VLOOKUP(G383,业务功能_系统接口!$B$6:$H$1416,3,FALSE))</f>
        <v/>
      </c>
      <c r="J383" s="9" t="str">
        <f>IF(G383="","",VLOOKUP(G383,业务功能_系统接口!$B$6:$H$1416,4,FALSE))</f>
        <v/>
      </c>
    </row>
    <row r="384" spans="3:10">
      <c r="C384" s="8"/>
      <c r="H384" s="9" t="str">
        <f>IF(G384="","",VLOOKUP(G384,业务功能_系统接口!$B$6:$H$1416,2,FALSE))</f>
        <v/>
      </c>
      <c r="I384" s="9" t="str">
        <f>IF(G384="","",VLOOKUP(G384,业务功能_系统接口!$B$6:$H$1416,3,FALSE))</f>
        <v/>
      </c>
      <c r="J384" s="9" t="str">
        <f>IF(G384="","",VLOOKUP(G384,业务功能_系统接口!$B$6:$H$1416,4,FALSE))</f>
        <v/>
      </c>
    </row>
    <row r="385" spans="3:10">
      <c r="C385" s="8"/>
      <c r="H385" s="9" t="str">
        <f>IF(G385="","",VLOOKUP(G385,业务功能_系统接口!$B$6:$H$1416,2,FALSE))</f>
        <v/>
      </c>
      <c r="I385" s="9" t="str">
        <f>IF(G385="","",VLOOKUP(G385,业务功能_系统接口!$B$6:$H$1416,3,FALSE))</f>
        <v/>
      </c>
      <c r="J385" s="9" t="str">
        <f>IF(G385="","",VLOOKUP(G385,业务功能_系统接口!$B$6:$H$1416,4,FALSE))</f>
        <v/>
      </c>
    </row>
    <row r="386" spans="3:10">
      <c r="C386" s="8"/>
      <c r="H386" s="9" t="str">
        <f>IF(G386="","",VLOOKUP(G386,业务功能_系统接口!$B$6:$H$1416,2,FALSE))</f>
        <v/>
      </c>
      <c r="I386" s="9" t="str">
        <f>IF(G386="","",VLOOKUP(G386,业务功能_系统接口!$B$6:$H$1416,3,FALSE))</f>
        <v/>
      </c>
      <c r="J386" s="9" t="str">
        <f>IF(G386="","",VLOOKUP(G386,业务功能_系统接口!$B$6:$H$1416,4,FALSE))</f>
        <v/>
      </c>
    </row>
    <row r="387" spans="3:10">
      <c r="C387" s="8"/>
      <c r="H387" s="9" t="str">
        <f>IF(G387="","",VLOOKUP(G387,业务功能_系统接口!$B$6:$H$1416,2,FALSE))</f>
        <v/>
      </c>
      <c r="I387" s="9" t="str">
        <f>IF(G387="","",VLOOKUP(G387,业务功能_系统接口!$B$6:$H$1416,3,FALSE))</f>
        <v/>
      </c>
      <c r="J387" s="9" t="str">
        <f>IF(G387="","",VLOOKUP(G387,业务功能_系统接口!$B$6:$H$1416,4,FALSE))</f>
        <v/>
      </c>
    </row>
    <row r="388" spans="3:10">
      <c r="C388" s="8"/>
      <c r="H388" s="9" t="str">
        <f>IF(G388="","",VLOOKUP(G388,业务功能_系统接口!$B$6:$H$1416,2,FALSE))</f>
        <v/>
      </c>
      <c r="I388" s="9" t="str">
        <f>IF(G388="","",VLOOKUP(G388,业务功能_系统接口!$B$6:$H$1416,3,FALSE))</f>
        <v/>
      </c>
      <c r="J388" s="9" t="str">
        <f>IF(G388="","",VLOOKUP(G388,业务功能_系统接口!$B$6:$H$1416,4,FALSE))</f>
        <v/>
      </c>
    </row>
    <row r="389" spans="3:10">
      <c r="C389" s="8"/>
      <c r="H389" s="9" t="str">
        <f>IF(G389="","",VLOOKUP(G389,业务功能_系统接口!$B$6:$H$1416,2,FALSE))</f>
        <v/>
      </c>
      <c r="I389" s="9" t="str">
        <f>IF(G389="","",VLOOKUP(G389,业务功能_系统接口!$B$6:$H$1416,3,FALSE))</f>
        <v/>
      </c>
      <c r="J389" s="9" t="str">
        <f>IF(G389="","",VLOOKUP(G389,业务功能_系统接口!$B$6:$H$1416,4,FALSE))</f>
        <v/>
      </c>
    </row>
    <row r="390" spans="3:10">
      <c r="C390" s="8"/>
      <c r="H390" s="9" t="str">
        <f>IF(G390="","",VLOOKUP(G390,业务功能_系统接口!$B$6:$H$1416,2,FALSE))</f>
        <v/>
      </c>
      <c r="I390" s="9" t="str">
        <f>IF(G390="","",VLOOKUP(G390,业务功能_系统接口!$B$6:$H$1416,3,FALSE))</f>
        <v/>
      </c>
      <c r="J390" s="9" t="str">
        <f>IF(G390="","",VLOOKUP(G390,业务功能_系统接口!$B$6:$H$1416,4,FALSE))</f>
        <v/>
      </c>
    </row>
    <row r="391" spans="3:10">
      <c r="C391" s="8"/>
      <c r="H391" s="9" t="str">
        <f>IF(G391="","",VLOOKUP(G391,业务功能_系统接口!$B$6:$H$1416,2,FALSE))</f>
        <v/>
      </c>
      <c r="I391" s="9" t="str">
        <f>IF(G391="","",VLOOKUP(G391,业务功能_系统接口!$B$6:$H$1416,3,FALSE))</f>
        <v/>
      </c>
      <c r="J391" s="9" t="str">
        <f>IF(G391="","",VLOOKUP(G391,业务功能_系统接口!$B$6:$H$1416,4,FALSE))</f>
        <v/>
      </c>
    </row>
    <row r="392" spans="3:10">
      <c r="C392" s="8"/>
      <c r="H392" s="9" t="str">
        <f>IF(G392="","",VLOOKUP(G392,业务功能_系统接口!$B$6:$H$1416,2,FALSE))</f>
        <v/>
      </c>
      <c r="I392" s="9" t="str">
        <f>IF(G392="","",VLOOKUP(G392,业务功能_系统接口!$B$6:$H$1416,3,FALSE))</f>
        <v/>
      </c>
      <c r="J392" s="9" t="str">
        <f>IF(G392="","",VLOOKUP(G392,业务功能_系统接口!$B$6:$H$1416,4,FALSE))</f>
        <v/>
      </c>
    </row>
    <row r="393" spans="3:10">
      <c r="C393" s="8"/>
      <c r="H393" s="9" t="str">
        <f>IF(G393="","",VLOOKUP(G393,业务功能_系统接口!$B$6:$H$1416,2,FALSE))</f>
        <v/>
      </c>
      <c r="I393" s="9" t="str">
        <f>IF(G393="","",VLOOKUP(G393,业务功能_系统接口!$B$6:$H$1416,3,FALSE))</f>
        <v/>
      </c>
      <c r="J393" s="9" t="str">
        <f>IF(G393="","",VLOOKUP(G393,业务功能_系统接口!$B$6:$H$1416,4,FALSE))</f>
        <v/>
      </c>
    </row>
    <row r="394" spans="3:10">
      <c r="C394" s="8"/>
      <c r="H394" s="9" t="str">
        <f>IF(G394="","",VLOOKUP(G394,业务功能_系统接口!$B$6:$H$1416,2,FALSE))</f>
        <v/>
      </c>
      <c r="I394" s="9" t="str">
        <f>IF(G394="","",VLOOKUP(G394,业务功能_系统接口!$B$6:$H$1416,3,FALSE))</f>
        <v/>
      </c>
      <c r="J394" s="9" t="str">
        <f>IF(G394="","",VLOOKUP(G394,业务功能_系统接口!$B$6:$H$1416,4,FALSE))</f>
        <v/>
      </c>
    </row>
    <row r="395" spans="3:10">
      <c r="C395" s="8"/>
      <c r="H395" s="9" t="str">
        <f>IF(G395="","",VLOOKUP(G395,业务功能_系统接口!$B$6:$H$1416,2,FALSE))</f>
        <v/>
      </c>
      <c r="I395" s="9" t="str">
        <f>IF(G395="","",VLOOKUP(G395,业务功能_系统接口!$B$6:$H$1416,3,FALSE))</f>
        <v/>
      </c>
      <c r="J395" s="9" t="str">
        <f>IF(G395="","",VLOOKUP(G395,业务功能_系统接口!$B$6:$H$1416,4,FALSE))</f>
        <v/>
      </c>
    </row>
    <row r="396" spans="3:10">
      <c r="C396" s="8"/>
      <c r="H396" s="9" t="str">
        <f>IF(G396="","",VLOOKUP(G396,业务功能_系统接口!$B$6:$H$1416,2,FALSE))</f>
        <v/>
      </c>
      <c r="I396" s="9" t="str">
        <f>IF(G396="","",VLOOKUP(G396,业务功能_系统接口!$B$6:$H$1416,3,FALSE))</f>
        <v/>
      </c>
      <c r="J396" s="9" t="str">
        <f>IF(G396="","",VLOOKUP(G396,业务功能_系统接口!$B$6:$H$1416,4,FALSE))</f>
        <v/>
      </c>
    </row>
    <row r="397" spans="3:10">
      <c r="C397" s="8"/>
      <c r="H397" s="9" t="str">
        <f>IF(G397="","",VLOOKUP(G397,业务功能_系统接口!$B$6:$H$1416,2,FALSE))</f>
        <v/>
      </c>
      <c r="I397" s="9" t="str">
        <f>IF(G397="","",VLOOKUP(G397,业务功能_系统接口!$B$6:$H$1416,3,FALSE))</f>
        <v/>
      </c>
      <c r="J397" s="9" t="str">
        <f>IF(G397="","",VLOOKUP(G397,业务功能_系统接口!$B$6:$H$1416,4,FALSE))</f>
        <v/>
      </c>
    </row>
    <row r="398" spans="3:10">
      <c r="C398" s="8"/>
      <c r="H398" s="9" t="str">
        <f>IF(G398="","",VLOOKUP(G398,业务功能_系统接口!$B$6:$H$1416,2,FALSE))</f>
        <v/>
      </c>
      <c r="I398" s="9" t="str">
        <f>IF(G398="","",VLOOKUP(G398,业务功能_系统接口!$B$6:$H$1416,3,FALSE))</f>
        <v/>
      </c>
      <c r="J398" s="9" t="str">
        <f>IF(G398="","",VLOOKUP(G398,业务功能_系统接口!$B$6:$H$1416,4,FALSE))</f>
        <v/>
      </c>
    </row>
    <row r="399" spans="3:10">
      <c r="C399" s="8"/>
      <c r="H399" s="9" t="str">
        <f>IF(G399="","",VLOOKUP(G399,业务功能_系统接口!$B$6:$H$1416,2,FALSE))</f>
        <v/>
      </c>
      <c r="I399" s="9" t="str">
        <f>IF(G399="","",VLOOKUP(G399,业务功能_系统接口!$B$6:$H$1416,3,FALSE))</f>
        <v/>
      </c>
      <c r="J399" s="9" t="str">
        <f>IF(G399="","",VLOOKUP(G399,业务功能_系统接口!$B$6:$H$1416,4,FALSE))</f>
        <v/>
      </c>
    </row>
    <row r="400" spans="3:10">
      <c r="C400" s="8"/>
      <c r="H400" s="9" t="str">
        <f>IF(G400="","",VLOOKUP(G400,业务功能_系统接口!$B$6:$H$1416,2,FALSE))</f>
        <v/>
      </c>
      <c r="I400" s="9" t="str">
        <f>IF(G400="","",VLOOKUP(G400,业务功能_系统接口!$B$6:$H$1416,3,FALSE))</f>
        <v/>
      </c>
      <c r="J400" s="9" t="str">
        <f>IF(G400="","",VLOOKUP(G400,业务功能_系统接口!$B$6:$H$1416,4,FALSE))</f>
        <v/>
      </c>
    </row>
    <row r="401" spans="3:10">
      <c r="C401" s="8"/>
      <c r="H401" s="9" t="str">
        <f>IF(G401="","",VLOOKUP(G401,业务功能_系统接口!$B$6:$H$1416,2,FALSE))</f>
        <v/>
      </c>
      <c r="I401" s="9" t="str">
        <f>IF(G401="","",VLOOKUP(G401,业务功能_系统接口!$B$6:$H$1416,3,FALSE))</f>
        <v/>
      </c>
      <c r="J401" s="9" t="str">
        <f>IF(G401="","",VLOOKUP(G401,业务功能_系统接口!$B$6:$H$1416,4,FALSE))</f>
        <v/>
      </c>
    </row>
    <row r="402" spans="3:10">
      <c r="C402" s="8"/>
      <c r="H402" s="9" t="str">
        <f>IF(G402="","",VLOOKUP(G402,业务功能_系统接口!$B$6:$H$1416,2,FALSE))</f>
        <v/>
      </c>
      <c r="I402" s="9" t="str">
        <f>IF(G402="","",VLOOKUP(G402,业务功能_系统接口!$B$6:$H$1416,3,FALSE))</f>
        <v/>
      </c>
      <c r="J402" s="9" t="str">
        <f>IF(G402="","",VLOOKUP(G402,业务功能_系统接口!$B$6:$H$1416,4,FALSE))</f>
        <v/>
      </c>
    </row>
    <row r="403" spans="3:10">
      <c r="C403" s="8"/>
      <c r="H403" s="9" t="str">
        <f>IF(G403="","",VLOOKUP(G403,业务功能_系统接口!$B$6:$H$1416,2,FALSE))</f>
        <v/>
      </c>
      <c r="I403" s="9" t="str">
        <f>IF(G403="","",VLOOKUP(G403,业务功能_系统接口!$B$6:$H$1416,3,FALSE))</f>
        <v/>
      </c>
      <c r="J403" s="9" t="str">
        <f>IF(G403="","",VLOOKUP(G403,业务功能_系统接口!$B$6:$H$1416,4,FALSE))</f>
        <v/>
      </c>
    </row>
    <row r="404" spans="3:10">
      <c r="C404" s="8"/>
      <c r="H404" s="9" t="str">
        <f>IF(G404="","",VLOOKUP(G404,业务功能_系统接口!$B$6:$H$1416,2,FALSE))</f>
        <v/>
      </c>
      <c r="I404" s="9" t="str">
        <f>IF(G404="","",VLOOKUP(G404,业务功能_系统接口!$B$6:$H$1416,3,FALSE))</f>
        <v/>
      </c>
      <c r="J404" s="9" t="str">
        <f>IF(G404="","",VLOOKUP(G404,业务功能_系统接口!$B$6:$H$1416,4,FALSE))</f>
        <v/>
      </c>
    </row>
    <row r="405" spans="3:10">
      <c r="C405" s="8"/>
      <c r="H405" s="9" t="str">
        <f>IF(G405="","",VLOOKUP(G405,业务功能_系统接口!$B$6:$H$1416,2,FALSE))</f>
        <v/>
      </c>
      <c r="I405" s="9" t="str">
        <f>IF(G405="","",VLOOKUP(G405,业务功能_系统接口!$B$6:$H$1416,3,FALSE))</f>
        <v/>
      </c>
      <c r="J405" s="9" t="str">
        <f>IF(G405="","",VLOOKUP(G405,业务功能_系统接口!$B$6:$H$1416,4,FALSE))</f>
        <v/>
      </c>
    </row>
    <row r="406" spans="3:10">
      <c r="C406" s="8"/>
      <c r="H406" s="9" t="str">
        <f>IF(G406="","",VLOOKUP(G406,业务功能_系统接口!$B$6:$H$1416,2,FALSE))</f>
        <v/>
      </c>
      <c r="I406" s="9" t="str">
        <f>IF(G406="","",VLOOKUP(G406,业务功能_系统接口!$B$6:$H$1416,3,FALSE))</f>
        <v/>
      </c>
      <c r="J406" s="9" t="str">
        <f>IF(G406="","",VLOOKUP(G406,业务功能_系统接口!$B$6:$H$1416,4,FALSE))</f>
        <v/>
      </c>
    </row>
    <row r="407" spans="3:10">
      <c r="C407" s="8"/>
      <c r="H407" s="9" t="str">
        <f>IF(G407="","",VLOOKUP(G407,业务功能_系统接口!$B$6:$H$1416,2,FALSE))</f>
        <v/>
      </c>
      <c r="I407" s="9" t="str">
        <f>IF(G407="","",VLOOKUP(G407,业务功能_系统接口!$B$6:$H$1416,3,FALSE))</f>
        <v/>
      </c>
      <c r="J407" s="9" t="str">
        <f>IF(G407="","",VLOOKUP(G407,业务功能_系统接口!$B$6:$H$1416,4,FALSE))</f>
        <v/>
      </c>
    </row>
    <row r="408" spans="3:10">
      <c r="C408" s="8"/>
      <c r="H408" s="9" t="str">
        <f>IF(G408="","",VLOOKUP(G408,业务功能_系统接口!$B$6:$H$1416,2,FALSE))</f>
        <v/>
      </c>
      <c r="I408" s="9" t="str">
        <f>IF(G408="","",VLOOKUP(G408,业务功能_系统接口!$B$6:$H$1416,3,FALSE))</f>
        <v/>
      </c>
      <c r="J408" s="9" t="str">
        <f>IF(G408="","",VLOOKUP(G408,业务功能_系统接口!$B$6:$H$1416,4,FALSE))</f>
        <v/>
      </c>
    </row>
    <row r="409" spans="3:10">
      <c r="C409" s="8"/>
      <c r="H409" s="9" t="str">
        <f>IF(G409="","",VLOOKUP(G409,业务功能_系统接口!$B$6:$H$1416,2,FALSE))</f>
        <v/>
      </c>
      <c r="I409" s="9" t="str">
        <f>IF(G409="","",VLOOKUP(G409,业务功能_系统接口!$B$6:$H$1416,3,FALSE))</f>
        <v/>
      </c>
      <c r="J409" s="9" t="str">
        <f>IF(G409="","",VLOOKUP(G409,业务功能_系统接口!$B$6:$H$1416,4,FALSE))</f>
        <v/>
      </c>
    </row>
    <row r="410" spans="3:10">
      <c r="C410" s="8"/>
      <c r="H410" s="9" t="str">
        <f>IF(G410="","",VLOOKUP(G410,业务功能_系统接口!$B$6:$H$1416,2,FALSE))</f>
        <v/>
      </c>
      <c r="I410" s="9" t="str">
        <f>IF(G410="","",VLOOKUP(G410,业务功能_系统接口!$B$6:$H$1416,3,FALSE))</f>
        <v/>
      </c>
      <c r="J410" s="9" t="str">
        <f>IF(G410="","",VLOOKUP(G410,业务功能_系统接口!$B$6:$H$1416,4,FALSE))</f>
        <v/>
      </c>
    </row>
    <row r="411" spans="3:10">
      <c r="C411" s="8"/>
      <c r="H411" s="9" t="str">
        <f>IF(G411="","",VLOOKUP(G411,业务功能_系统接口!$B$6:$H$1416,2,FALSE))</f>
        <v/>
      </c>
      <c r="I411" s="9" t="str">
        <f>IF(G411="","",VLOOKUP(G411,业务功能_系统接口!$B$6:$H$1416,3,FALSE))</f>
        <v/>
      </c>
      <c r="J411" s="9" t="str">
        <f>IF(G411="","",VLOOKUP(G411,业务功能_系统接口!$B$6:$H$1416,4,FALSE))</f>
        <v/>
      </c>
    </row>
    <row r="412" spans="3:10">
      <c r="C412" s="8"/>
      <c r="H412" s="9" t="str">
        <f>IF(G412="","",VLOOKUP(G412,业务功能_系统接口!$B$6:$H$1416,2,FALSE))</f>
        <v/>
      </c>
      <c r="I412" s="9" t="str">
        <f>IF(G412="","",VLOOKUP(G412,业务功能_系统接口!$B$6:$H$1416,3,FALSE))</f>
        <v/>
      </c>
      <c r="J412" s="9" t="str">
        <f>IF(G412="","",VLOOKUP(G412,业务功能_系统接口!$B$6:$H$1416,4,FALSE))</f>
        <v/>
      </c>
    </row>
    <row r="413" spans="3:10">
      <c r="C413" s="8"/>
      <c r="H413" s="9" t="str">
        <f>IF(G413="","",VLOOKUP(G413,业务功能_系统接口!$B$6:$H$1416,2,FALSE))</f>
        <v/>
      </c>
      <c r="I413" s="9" t="str">
        <f>IF(G413="","",VLOOKUP(G413,业务功能_系统接口!$B$6:$H$1416,3,FALSE))</f>
        <v/>
      </c>
      <c r="J413" s="9" t="str">
        <f>IF(G413="","",VLOOKUP(G413,业务功能_系统接口!$B$6:$H$1416,4,FALSE))</f>
        <v/>
      </c>
    </row>
    <row r="414" spans="3:10">
      <c r="C414" s="8"/>
      <c r="H414" s="9" t="str">
        <f>IF(G414="","",VLOOKUP(G414,业务功能_系统接口!$B$6:$H$1416,2,FALSE))</f>
        <v/>
      </c>
      <c r="I414" s="9" t="str">
        <f>IF(G414="","",VLOOKUP(G414,业务功能_系统接口!$B$6:$H$1416,3,FALSE))</f>
        <v/>
      </c>
      <c r="J414" s="9" t="str">
        <f>IF(G414="","",VLOOKUP(G414,业务功能_系统接口!$B$6:$H$1416,4,FALSE))</f>
        <v/>
      </c>
    </row>
    <row r="415" spans="3:10">
      <c r="C415" s="8"/>
      <c r="H415" s="9" t="str">
        <f>IF(G415="","",VLOOKUP(G415,业务功能_系统接口!$B$6:$H$1416,2,FALSE))</f>
        <v/>
      </c>
      <c r="I415" s="9" t="str">
        <f>IF(G415="","",VLOOKUP(G415,业务功能_系统接口!$B$6:$H$1416,3,FALSE))</f>
        <v/>
      </c>
      <c r="J415" s="9" t="str">
        <f>IF(G415="","",VLOOKUP(G415,业务功能_系统接口!$B$6:$H$1416,4,FALSE))</f>
        <v/>
      </c>
    </row>
    <row r="416" spans="3:10">
      <c r="C416" s="8"/>
      <c r="H416" s="9" t="str">
        <f>IF(G416="","",VLOOKUP(G416,业务功能_系统接口!$B$6:$H$1416,2,FALSE))</f>
        <v/>
      </c>
      <c r="I416" s="9" t="str">
        <f>IF(G416="","",VLOOKUP(G416,业务功能_系统接口!$B$6:$H$1416,3,FALSE))</f>
        <v/>
      </c>
      <c r="J416" s="9" t="str">
        <f>IF(G416="","",VLOOKUP(G416,业务功能_系统接口!$B$6:$H$1416,4,FALSE))</f>
        <v/>
      </c>
    </row>
    <row r="417" spans="3:10">
      <c r="C417" s="8"/>
      <c r="H417" s="9" t="str">
        <f>IF(G417="","",VLOOKUP(G417,业务功能_系统接口!$B$6:$H$1416,2,FALSE))</f>
        <v/>
      </c>
      <c r="I417" s="9" t="str">
        <f>IF(G417="","",VLOOKUP(G417,业务功能_系统接口!$B$6:$H$1416,3,FALSE))</f>
        <v/>
      </c>
      <c r="J417" s="9" t="str">
        <f>IF(G417="","",VLOOKUP(G417,业务功能_系统接口!$B$6:$H$1416,4,FALSE))</f>
        <v/>
      </c>
    </row>
    <row r="418" spans="3:10">
      <c r="C418" s="8"/>
      <c r="H418" s="9" t="str">
        <f>IF(G418="","",VLOOKUP(G418,业务功能_系统接口!$B$6:$H$1416,2,FALSE))</f>
        <v/>
      </c>
      <c r="I418" s="9" t="str">
        <f>IF(G418="","",VLOOKUP(G418,业务功能_系统接口!$B$6:$H$1416,3,FALSE))</f>
        <v/>
      </c>
      <c r="J418" s="9" t="str">
        <f>IF(G418="","",VLOOKUP(G418,业务功能_系统接口!$B$6:$H$1416,4,FALSE))</f>
        <v/>
      </c>
    </row>
    <row r="419" spans="3:10">
      <c r="C419" s="8"/>
      <c r="H419" s="9" t="str">
        <f>IF(G419="","",VLOOKUP(G419,业务功能_系统接口!$B$6:$H$1416,2,FALSE))</f>
        <v/>
      </c>
      <c r="I419" s="9" t="str">
        <f>IF(G419="","",VLOOKUP(G419,业务功能_系统接口!$B$6:$H$1416,3,FALSE))</f>
        <v/>
      </c>
      <c r="J419" s="9" t="str">
        <f>IF(G419="","",VLOOKUP(G419,业务功能_系统接口!$B$6:$H$1416,4,FALSE))</f>
        <v/>
      </c>
    </row>
    <row r="420" spans="3:10">
      <c r="C420" s="8"/>
      <c r="H420" s="9" t="str">
        <f>IF(G420="","",VLOOKUP(G420,业务功能_系统接口!$B$6:$H$1416,2,FALSE))</f>
        <v/>
      </c>
      <c r="I420" s="9" t="str">
        <f>IF(G420="","",VLOOKUP(G420,业务功能_系统接口!$B$6:$H$1416,3,FALSE))</f>
        <v/>
      </c>
      <c r="J420" s="9" t="str">
        <f>IF(G420="","",VLOOKUP(G420,业务功能_系统接口!$B$6:$H$1416,4,FALSE))</f>
        <v/>
      </c>
    </row>
    <row r="421" spans="3:10">
      <c r="C421" s="8"/>
      <c r="H421" s="9" t="str">
        <f>IF(G421="","",VLOOKUP(G421,业务功能_系统接口!$B$6:$H$1416,2,FALSE))</f>
        <v/>
      </c>
      <c r="I421" s="9" t="str">
        <f>IF(G421="","",VLOOKUP(G421,业务功能_系统接口!$B$6:$H$1416,3,FALSE))</f>
        <v/>
      </c>
      <c r="J421" s="9" t="str">
        <f>IF(G421="","",VLOOKUP(G421,业务功能_系统接口!$B$6:$H$1416,4,FALSE))</f>
        <v/>
      </c>
    </row>
    <row r="422" spans="3:10">
      <c r="C422" s="8"/>
      <c r="H422" s="9" t="str">
        <f>IF(G422="","",VLOOKUP(G422,业务功能_系统接口!$B$6:$H$1416,2,FALSE))</f>
        <v/>
      </c>
      <c r="I422" s="9" t="str">
        <f>IF(G422="","",VLOOKUP(G422,业务功能_系统接口!$B$6:$H$1416,3,FALSE))</f>
        <v/>
      </c>
      <c r="J422" s="9" t="str">
        <f>IF(G422="","",VLOOKUP(G422,业务功能_系统接口!$B$6:$H$1416,4,FALSE))</f>
        <v/>
      </c>
    </row>
    <row r="423" spans="3:10">
      <c r="C423" s="8"/>
      <c r="H423" s="9" t="str">
        <f>IF(G423="","",VLOOKUP(G423,业务功能_系统接口!$B$6:$H$1416,2,FALSE))</f>
        <v/>
      </c>
      <c r="I423" s="9" t="str">
        <f>IF(G423="","",VLOOKUP(G423,业务功能_系统接口!$B$6:$H$1416,3,FALSE))</f>
        <v/>
      </c>
      <c r="J423" s="9" t="str">
        <f>IF(G423="","",VLOOKUP(G423,业务功能_系统接口!$B$6:$H$1416,4,FALSE))</f>
        <v/>
      </c>
    </row>
    <row r="424" spans="3:10">
      <c r="C424" s="8"/>
      <c r="H424" s="9" t="str">
        <f>IF(G424="","",VLOOKUP(G424,业务功能_系统接口!$B$6:$H$1416,2,FALSE))</f>
        <v/>
      </c>
      <c r="I424" s="9" t="str">
        <f>IF(G424="","",VLOOKUP(G424,业务功能_系统接口!$B$6:$H$1416,3,FALSE))</f>
        <v/>
      </c>
      <c r="J424" s="9" t="str">
        <f>IF(G424="","",VLOOKUP(G424,业务功能_系统接口!$B$6:$H$1416,4,FALSE))</f>
        <v/>
      </c>
    </row>
    <row r="425" spans="3:10">
      <c r="C425" s="8"/>
      <c r="H425" s="9" t="str">
        <f>IF(G425="","",VLOOKUP(G425,业务功能_系统接口!$B$6:$H$1416,2,FALSE))</f>
        <v/>
      </c>
      <c r="I425" s="9" t="str">
        <f>IF(G425="","",VLOOKUP(G425,业务功能_系统接口!$B$6:$H$1416,3,FALSE))</f>
        <v/>
      </c>
      <c r="J425" s="9" t="str">
        <f>IF(G425="","",VLOOKUP(G425,业务功能_系统接口!$B$6:$H$1416,4,FALSE))</f>
        <v/>
      </c>
    </row>
    <row r="426" spans="3:10">
      <c r="C426" s="8"/>
      <c r="H426" s="9" t="str">
        <f>IF(G426="","",VLOOKUP(G426,业务功能_系统接口!$B$6:$H$1416,2,FALSE))</f>
        <v/>
      </c>
      <c r="I426" s="9" t="str">
        <f>IF(G426="","",VLOOKUP(G426,业务功能_系统接口!$B$6:$H$1416,3,FALSE))</f>
        <v/>
      </c>
      <c r="J426" s="9" t="str">
        <f>IF(G426="","",VLOOKUP(G426,业务功能_系统接口!$B$6:$H$1416,4,FALSE))</f>
        <v/>
      </c>
    </row>
    <row r="427" spans="3:10">
      <c r="C427" s="8"/>
      <c r="H427" s="9" t="str">
        <f>IF(G427="","",VLOOKUP(G427,业务功能_系统接口!$B$6:$H$1416,2,FALSE))</f>
        <v/>
      </c>
      <c r="I427" s="9" t="str">
        <f>IF(G427="","",VLOOKUP(G427,业务功能_系统接口!$B$6:$H$1416,3,FALSE))</f>
        <v/>
      </c>
      <c r="J427" s="9" t="str">
        <f>IF(G427="","",VLOOKUP(G427,业务功能_系统接口!$B$6:$H$1416,4,FALSE))</f>
        <v/>
      </c>
    </row>
    <row r="428" spans="3:10">
      <c r="C428" s="8"/>
      <c r="H428" s="9" t="str">
        <f>IF(G428="","",VLOOKUP(G428,业务功能_系统接口!$B$6:$H$1416,2,FALSE))</f>
        <v/>
      </c>
      <c r="I428" s="9" t="str">
        <f>IF(G428="","",VLOOKUP(G428,业务功能_系统接口!$B$6:$H$1416,3,FALSE))</f>
        <v/>
      </c>
      <c r="J428" s="9" t="str">
        <f>IF(G428="","",VLOOKUP(G428,业务功能_系统接口!$B$6:$H$1416,4,FALSE))</f>
        <v/>
      </c>
    </row>
    <row r="429" spans="3:10">
      <c r="C429" s="8"/>
      <c r="H429" s="9" t="str">
        <f>IF(G429="","",VLOOKUP(G429,业务功能_系统接口!$B$6:$H$1416,2,FALSE))</f>
        <v/>
      </c>
      <c r="I429" s="9" t="str">
        <f>IF(G429="","",VLOOKUP(G429,业务功能_系统接口!$B$6:$H$1416,3,FALSE))</f>
        <v/>
      </c>
      <c r="J429" s="9" t="str">
        <f>IF(G429="","",VLOOKUP(G429,业务功能_系统接口!$B$6:$H$1416,4,FALSE))</f>
        <v/>
      </c>
    </row>
    <row r="430" spans="3:10">
      <c r="C430" s="8"/>
      <c r="H430" s="9" t="str">
        <f>IF(G430="","",VLOOKUP(G430,业务功能_系统接口!$B$6:$H$1416,2,FALSE))</f>
        <v/>
      </c>
      <c r="I430" s="9" t="str">
        <f>IF(G430="","",VLOOKUP(G430,业务功能_系统接口!$B$6:$H$1416,3,FALSE))</f>
        <v/>
      </c>
      <c r="J430" s="9" t="str">
        <f>IF(G430="","",VLOOKUP(G430,业务功能_系统接口!$B$6:$H$1416,4,FALSE))</f>
        <v/>
      </c>
    </row>
    <row r="431" spans="3:10">
      <c r="C431" s="8"/>
      <c r="H431" s="9" t="str">
        <f>IF(G431="","",VLOOKUP(G431,业务功能_系统接口!$B$6:$H$1416,2,FALSE))</f>
        <v/>
      </c>
      <c r="I431" s="9" t="str">
        <f>IF(G431="","",VLOOKUP(G431,业务功能_系统接口!$B$6:$H$1416,3,FALSE))</f>
        <v/>
      </c>
      <c r="J431" s="9" t="str">
        <f>IF(G431="","",VLOOKUP(G431,业务功能_系统接口!$B$6:$H$1416,4,FALSE))</f>
        <v/>
      </c>
    </row>
    <row r="432" spans="3:10">
      <c r="C432" s="8"/>
      <c r="H432" s="9" t="str">
        <f>IF(G432="","",VLOOKUP(G432,业务功能_系统接口!$B$6:$H$1416,2,FALSE))</f>
        <v/>
      </c>
      <c r="I432" s="9" t="str">
        <f>IF(G432="","",VLOOKUP(G432,业务功能_系统接口!$B$6:$H$1416,3,FALSE))</f>
        <v/>
      </c>
      <c r="J432" s="9" t="str">
        <f>IF(G432="","",VLOOKUP(G432,业务功能_系统接口!$B$6:$H$1416,4,FALSE))</f>
        <v/>
      </c>
    </row>
    <row r="433" spans="3:10">
      <c r="C433" s="8"/>
      <c r="H433" s="9" t="str">
        <f>IF(G433="","",VLOOKUP(G433,业务功能_系统接口!$B$6:$H$1416,2,FALSE))</f>
        <v/>
      </c>
      <c r="I433" s="9" t="str">
        <f>IF(G433="","",VLOOKUP(G433,业务功能_系统接口!$B$6:$H$1416,3,FALSE))</f>
        <v/>
      </c>
      <c r="J433" s="9" t="str">
        <f>IF(G433="","",VLOOKUP(G433,业务功能_系统接口!$B$6:$H$1416,4,FALSE))</f>
        <v/>
      </c>
    </row>
    <row r="434" spans="3:10">
      <c r="C434" s="8"/>
      <c r="H434" s="9" t="str">
        <f>IF(G434="","",VLOOKUP(G434,业务功能_系统接口!$B$6:$H$1416,2,FALSE))</f>
        <v/>
      </c>
      <c r="I434" s="9" t="str">
        <f>IF(G434="","",VLOOKUP(G434,业务功能_系统接口!$B$6:$H$1416,3,FALSE))</f>
        <v/>
      </c>
      <c r="J434" s="9" t="str">
        <f>IF(G434="","",VLOOKUP(G434,业务功能_系统接口!$B$6:$H$1416,4,FALSE))</f>
        <v/>
      </c>
    </row>
    <row r="435" spans="3:10">
      <c r="C435" s="8"/>
      <c r="H435" s="9" t="str">
        <f>IF(G435="","",VLOOKUP(G435,业务功能_系统接口!$B$6:$H$1416,2,FALSE))</f>
        <v/>
      </c>
      <c r="I435" s="9" t="str">
        <f>IF(G435="","",VLOOKUP(G435,业务功能_系统接口!$B$6:$H$1416,3,FALSE))</f>
        <v/>
      </c>
      <c r="J435" s="9" t="str">
        <f>IF(G435="","",VLOOKUP(G435,业务功能_系统接口!$B$6:$H$1416,4,FALSE))</f>
        <v/>
      </c>
    </row>
    <row r="436" spans="3:10">
      <c r="C436" s="8"/>
      <c r="H436" s="9" t="str">
        <f>IF(G436="","",VLOOKUP(G436,业务功能_系统接口!$B$6:$H$1416,2,FALSE))</f>
        <v/>
      </c>
      <c r="I436" s="9" t="str">
        <f>IF(G436="","",VLOOKUP(G436,业务功能_系统接口!$B$6:$H$1416,3,FALSE))</f>
        <v/>
      </c>
      <c r="J436" s="9" t="str">
        <f>IF(G436="","",VLOOKUP(G436,业务功能_系统接口!$B$6:$H$1416,4,FALSE))</f>
        <v/>
      </c>
    </row>
    <row r="437" spans="3:10">
      <c r="C437" s="8"/>
      <c r="H437" s="9" t="str">
        <f>IF(G437="","",VLOOKUP(G437,业务功能_系统接口!$B$6:$H$1416,2,FALSE))</f>
        <v/>
      </c>
      <c r="I437" s="9" t="str">
        <f>IF(G437="","",VLOOKUP(G437,业务功能_系统接口!$B$6:$H$1416,3,FALSE))</f>
        <v/>
      </c>
      <c r="J437" s="9" t="str">
        <f>IF(G437="","",VLOOKUP(G437,业务功能_系统接口!$B$6:$H$1416,4,FALSE))</f>
        <v/>
      </c>
    </row>
    <row r="438" spans="3:10">
      <c r="C438" s="8"/>
      <c r="H438" s="9" t="str">
        <f>IF(G438="","",VLOOKUP(G438,业务功能_系统接口!$B$6:$H$1416,2,FALSE))</f>
        <v/>
      </c>
      <c r="I438" s="9" t="str">
        <f>IF(G438="","",VLOOKUP(G438,业务功能_系统接口!$B$6:$H$1416,3,FALSE))</f>
        <v/>
      </c>
      <c r="J438" s="9" t="str">
        <f>IF(G438="","",VLOOKUP(G438,业务功能_系统接口!$B$6:$H$1416,4,FALSE))</f>
        <v/>
      </c>
    </row>
    <row r="439" spans="3:10">
      <c r="C439" s="8"/>
      <c r="H439" s="9" t="str">
        <f>IF(G439="","",VLOOKUP(G439,业务功能_系统接口!$B$6:$H$1416,2,FALSE))</f>
        <v/>
      </c>
      <c r="I439" s="9" t="str">
        <f>IF(G439="","",VLOOKUP(G439,业务功能_系统接口!$B$6:$H$1416,3,FALSE))</f>
        <v/>
      </c>
      <c r="J439" s="9" t="str">
        <f>IF(G439="","",VLOOKUP(G439,业务功能_系统接口!$B$6:$H$1416,4,FALSE))</f>
        <v/>
      </c>
    </row>
    <row r="440" spans="3:10">
      <c r="C440" s="8"/>
      <c r="H440" s="9" t="str">
        <f>IF(G440="","",VLOOKUP(G440,业务功能_系统接口!$B$6:$H$1416,2,FALSE))</f>
        <v/>
      </c>
      <c r="I440" s="9" t="str">
        <f>IF(G440="","",VLOOKUP(G440,业务功能_系统接口!$B$6:$H$1416,3,FALSE))</f>
        <v/>
      </c>
      <c r="J440" s="9" t="str">
        <f>IF(G440="","",VLOOKUP(G440,业务功能_系统接口!$B$6:$H$1416,4,FALSE))</f>
        <v/>
      </c>
    </row>
    <row r="441" spans="3:10">
      <c r="C441" s="8"/>
      <c r="H441" s="9" t="str">
        <f>IF(G441="","",VLOOKUP(G441,业务功能_系统接口!$B$6:$H$1416,2,FALSE))</f>
        <v/>
      </c>
      <c r="I441" s="9" t="str">
        <f>IF(G441="","",VLOOKUP(G441,业务功能_系统接口!$B$6:$H$1416,3,FALSE))</f>
        <v/>
      </c>
      <c r="J441" s="9" t="str">
        <f>IF(G441="","",VLOOKUP(G441,业务功能_系统接口!$B$6:$H$1416,4,FALSE))</f>
        <v/>
      </c>
    </row>
    <row r="442" spans="3:10">
      <c r="C442" s="8"/>
      <c r="H442" s="9" t="str">
        <f>IF(G442="","",VLOOKUP(G442,业务功能_系统接口!$B$6:$H$1416,2,FALSE))</f>
        <v/>
      </c>
      <c r="I442" s="9" t="str">
        <f>IF(G442="","",VLOOKUP(G442,业务功能_系统接口!$B$6:$H$1416,3,FALSE))</f>
        <v/>
      </c>
      <c r="J442" s="9" t="str">
        <f>IF(G442="","",VLOOKUP(G442,业务功能_系统接口!$B$6:$H$1416,4,FALSE))</f>
        <v/>
      </c>
    </row>
    <row r="443" spans="3:10">
      <c r="C443" s="8"/>
      <c r="H443" s="9" t="str">
        <f>IF(G443="","",VLOOKUP(G443,业务功能_系统接口!$B$6:$H$1416,2,FALSE))</f>
        <v/>
      </c>
      <c r="I443" s="9" t="str">
        <f>IF(G443="","",VLOOKUP(G443,业务功能_系统接口!$B$6:$H$1416,3,FALSE))</f>
        <v/>
      </c>
      <c r="J443" s="9" t="str">
        <f>IF(G443="","",VLOOKUP(G443,业务功能_系统接口!$B$6:$H$1416,4,FALSE))</f>
        <v/>
      </c>
    </row>
    <row r="444" spans="3:10">
      <c r="C444" s="8"/>
      <c r="H444" s="9" t="str">
        <f>IF(G444="","",VLOOKUP(G444,业务功能_系统接口!$B$6:$H$1416,2,FALSE))</f>
        <v/>
      </c>
      <c r="I444" s="9" t="str">
        <f>IF(G444="","",VLOOKUP(G444,业务功能_系统接口!$B$6:$H$1416,3,FALSE))</f>
        <v/>
      </c>
      <c r="J444" s="9" t="str">
        <f>IF(G444="","",VLOOKUP(G444,业务功能_系统接口!$B$6:$H$1416,4,FALSE))</f>
        <v/>
      </c>
    </row>
    <row r="445" spans="3:10">
      <c r="C445" s="8"/>
      <c r="H445" s="9" t="str">
        <f>IF(G445="","",VLOOKUP(G445,业务功能_系统接口!$B$6:$H$1416,2,FALSE))</f>
        <v/>
      </c>
      <c r="I445" s="9" t="str">
        <f>IF(G445="","",VLOOKUP(G445,业务功能_系统接口!$B$6:$H$1416,3,FALSE))</f>
        <v/>
      </c>
      <c r="J445" s="9" t="str">
        <f>IF(G445="","",VLOOKUP(G445,业务功能_系统接口!$B$6:$H$1416,4,FALSE))</f>
        <v/>
      </c>
    </row>
    <row r="446" spans="3:10">
      <c r="C446" s="8"/>
      <c r="H446" s="9" t="str">
        <f>IF(G446="","",VLOOKUP(G446,业务功能_系统接口!$B$6:$H$1416,2,FALSE))</f>
        <v/>
      </c>
      <c r="I446" s="9" t="str">
        <f>IF(G446="","",VLOOKUP(G446,业务功能_系统接口!$B$6:$H$1416,3,FALSE))</f>
        <v/>
      </c>
      <c r="J446" s="9" t="str">
        <f>IF(G446="","",VLOOKUP(G446,业务功能_系统接口!$B$6:$H$1416,4,FALSE))</f>
        <v/>
      </c>
    </row>
    <row r="447" spans="3:10">
      <c r="C447" s="8"/>
      <c r="H447" s="9" t="str">
        <f>IF(G447="","",VLOOKUP(G447,业务功能_系统接口!$B$6:$H$1416,2,FALSE))</f>
        <v/>
      </c>
      <c r="I447" s="9" t="str">
        <f>IF(G447="","",VLOOKUP(G447,业务功能_系统接口!$B$6:$H$1416,3,FALSE))</f>
        <v/>
      </c>
      <c r="J447" s="9" t="str">
        <f>IF(G447="","",VLOOKUP(G447,业务功能_系统接口!$B$6:$H$1416,4,FALSE))</f>
        <v/>
      </c>
    </row>
    <row r="448" spans="3:10">
      <c r="C448" s="8"/>
      <c r="H448" s="9" t="str">
        <f>IF(G448="","",VLOOKUP(G448,业务功能_系统接口!$B$6:$H$1416,2,FALSE))</f>
        <v/>
      </c>
      <c r="I448" s="9" t="str">
        <f>IF(G448="","",VLOOKUP(G448,业务功能_系统接口!$B$6:$H$1416,3,FALSE))</f>
        <v/>
      </c>
      <c r="J448" s="9" t="str">
        <f>IF(G448="","",VLOOKUP(G448,业务功能_系统接口!$B$6:$H$1416,4,FALSE))</f>
        <v/>
      </c>
    </row>
    <row r="449" spans="3:10">
      <c r="C449" s="8"/>
      <c r="H449" s="9" t="str">
        <f>IF(G449="","",VLOOKUP(G449,业务功能_系统接口!$B$6:$H$1416,2,FALSE))</f>
        <v/>
      </c>
      <c r="I449" s="9" t="str">
        <f>IF(G449="","",VLOOKUP(G449,业务功能_系统接口!$B$6:$H$1416,3,FALSE))</f>
        <v/>
      </c>
      <c r="J449" s="9" t="str">
        <f>IF(G449="","",VLOOKUP(G449,业务功能_系统接口!$B$6:$H$1416,4,FALSE))</f>
        <v/>
      </c>
    </row>
    <row r="450" spans="3:10">
      <c r="C450" s="8"/>
      <c r="H450" s="9" t="str">
        <f>IF(G450="","",VLOOKUP(G450,业务功能_系统接口!$B$6:$H$1416,2,FALSE))</f>
        <v/>
      </c>
      <c r="I450" s="9" t="str">
        <f>IF(G450="","",VLOOKUP(G450,业务功能_系统接口!$B$6:$H$1416,3,FALSE))</f>
        <v/>
      </c>
      <c r="J450" s="9" t="str">
        <f>IF(G450="","",VLOOKUP(G450,业务功能_系统接口!$B$6:$H$1416,4,FALSE))</f>
        <v/>
      </c>
    </row>
    <row r="451" spans="3:10">
      <c r="C451" s="8"/>
      <c r="H451" s="9" t="str">
        <f>IF(G451="","",VLOOKUP(G451,业务功能_系统接口!$B$6:$H$1416,2,FALSE))</f>
        <v/>
      </c>
      <c r="I451" s="9" t="str">
        <f>IF(G451="","",VLOOKUP(G451,业务功能_系统接口!$B$6:$H$1416,3,FALSE))</f>
        <v/>
      </c>
      <c r="J451" s="9" t="str">
        <f>IF(G451="","",VLOOKUP(G451,业务功能_系统接口!$B$6:$H$1416,4,FALSE))</f>
        <v/>
      </c>
    </row>
    <row r="452" spans="3:10">
      <c r="C452" s="8"/>
      <c r="H452" s="9" t="str">
        <f>IF(G452="","",VLOOKUP(G452,业务功能_系统接口!$B$6:$H$1416,2,FALSE))</f>
        <v/>
      </c>
      <c r="I452" s="9" t="str">
        <f>IF(G452="","",VLOOKUP(G452,业务功能_系统接口!$B$6:$H$1416,3,FALSE))</f>
        <v/>
      </c>
      <c r="J452" s="9" t="str">
        <f>IF(G452="","",VLOOKUP(G452,业务功能_系统接口!$B$6:$H$1416,4,FALSE))</f>
        <v/>
      </c>
    </row>
    <row r="453" spans="3:10">
      <c r="C453" s="8"/>
      <c r="H453" s="9" t="str">
        <f>IF(G453="","",VLOOKUP(G453,业务功能_系统接口!$B$6:$H$1416,2,FALSE))</f>
        <v/>
      </c>
      <c r="I453" s="9" t="str">
        <f>IF(G453="","",VLOOKUP(G453,业务功能_系统接口!$B$6:$H$1416,3,FALSE))</f>
        <v/>
      </c>
      <c r="J453" s="9" t="str">
        <f>IF(G453="","",VLOOKUP(G453,业务功能_系统接口!$B$6:$H$1416,4,FALSE))</f>
        <v/>
      </c>
    </row>
    <row r="454" spans="3:10">
      <c r="C454" s="8"/>
      <c r="H454" s="9" t="str">
        <f>IF(G454="","",VLOOKUP(G454,业务功能_系统接口!$B$6:$H$1416,2,FALSE))</f>
        <v/>
      </c>
      <c r="I454" s="9" t="str">
        <f>IF(G454="","",VLOOKUP(G454,业务功能_系统接口!$B$6:$H$1416,3,FALSE))</f>
        <v/>
      </c>
      <c r="J454" s="9" t="str">
        <f>IF(G454="","",VLOOKUP(G454,业务功能_系统接口!$B$6:$H$1416,4,FALSE))</f>
        <v/>
      </c>
    </row>
    <row r="455" spans="3:10">
      <c r="C455" s="8"/>
      <c r="H455" s="9" t="str">
        <f>IF(G455="","",VLOOKUP(G455,业务功能_系统接口!$B$6:$H$1416,2,FALSE))</f>
        <v/>
      </c>
      <c r="I455" s="9" t="str">
        <f>IF(G455="","",VLOOKUP(G455,业务功能_系统接口!$B$6:$H$1416,3,FALSE))</f>
        <v/>
      </c>
      <c r="J455" s="9" t="str">
        <f>IF(G455="","",VLOOKUP(G455,业务功能_系统接口!$B$6:$H$1416,4,FALSE))</f>
        <v/>
      </c>
    </row>
    <row r="456" spans="3:10">
      <c r="C456" s="8"/>
      <c r="H456" s="9" t="str">
        <f>IF(G456="","",VLOOKUP(G456,业务功能_系统接口!$B$6:$H$1416,2,FALSE))</f>
        <v/>
      </c>
      <c r="I456" s="9" t="str">
        <f>IF(G456="","",VLOOKUP(G456,业务功能_系统接口!$B$6:$H$1416,3,FALSE))</f>
        <v/>
      </c>
      <c r="J456" s="9" t="str">
        <f>IF(G456="","",VLOOKUP(G456,业务功能_系统接口!$B$6:$H$1416,4,FALSE))</f>
        <v/>
      </c>
    </row>
    <row r="457" spans="3:10">
      <c r="C457" s="8"/>
      <c r="H457" s="9" t="str">
        <f>IF(G457="","",VLOOKUP(G457,业务功能_系统接口!$B$6:$H$1416,2,FALSE))</f>
        <v/>
      </c>
      <c r="I457" s="9" t="str">
        <f>IF(G457="","",VLOOKUP(G457,业务功能_系统接口!$B$6:$H$1416,3,FALSE))</f>
        <v/>
      </c>
      <c r="J457" s="9" t="str">
        <f>IF(G457="","",VLOOKUP(G457,业务功能_系统接口!$B$6:$H$1416,4,FALSE))</f>
        <v/>
      </c>
    </row>
    <row r="458" spans="3:10">
      <c r="C458" s="8"/>
      <c r="H458" s="9" t="str">
        <f>IF(G458="","",VLOOKUP(G458,业务功能_系统接口!$B$6:$H$1416,2,FALSE))</f>
        <v/>
      </c>
      <c r="I458" s="9" t="str">
        <f>IF(G458="","",VLOOKUP(G458,业务功能_系统接口!$B$6:$H$1416,3,FALSE))</f>
        <v/>
      </c>
      <c r="J458" s="9" t="str">
        <f>IF(G458="","",VLOOKUP(G458,业务功能_系统接口!$B$6:$H$1416,4,FALSE))</f>
        <v/>
      </c>
    </row>
    <row r="459" spans="3:10">
      <c r="C459" s="8"/>
      <c r="H459" s="9" t="str">
        <f>IF(G459="","",VLOOKUP(G459,业务功能_系统接口!$B$6:$H$1416,2,FALSE))</f>
        <v/>
      </c>
      <c r="I459" s="9" t="str">
        <f>IF(G459="","",VLOOKUP(G459,业务功能_系统接口!$B$6:$H$1416,3,FALSE))</f>
        <v/>
      </c>
      <c r="J459" s="9" t="str">
        <f>IF(G459="","",VLOOKUP(G459,业务功能_系统接口!$B$6:$H$1416,4,FALSE))</f>
        <v/>
      </c>
    </row>
    <row r="460" spans="3:10">
      <c r="C460" s="8"/>
      <c r="H460" s="9" t="str">
        <f>IF(G460="","",VLOOKUP(G460,业务功能_系统接口!$B$6:$H$1416,2,FALSE))</f>
        <v/>
      </c>
      <c r="I460" s="9" t="str">
        <f>IF(G460="","",VLOOKUP(G460,业务功能_系统接口!$B$6:$H$1416,3,FALSE))</f>
        <v/>
      </c>
      <c r="J460" s="9" t="str">
        <f>IF(G460="","",VLOOKUP(G460,业务功能_系统接口!$B$6:$H$1416,4,FALSE))</f>
        <v/>
      </c>
    </row>
    <row r="461" spans="3:10">
      <c r="C461" s="8"/>
      <c r="H461" s="9" t="str">
        <f>IF(G461="","",VLOOKUP(G461,业务功能_系统接口!$B$6:$H$1416,2,FALSE))</f>
        <v/>
      </c>
      <c r="I461" s="9" t="str">
        <f>IF(G461="","",VLOOKUP(G461,业务功能_系统接口!$B$6:$H$1416,3,FALSE))</f>
        <v/>
      </c>
      <c r="J461" s="9" t="str">
        <f>IF(G461="","",VLOOKUP(G461,业务功能_系统接口!$B$6:$H$1416,4,FALSE))</f>
        <v/>
      </c>
    </row>
    <row r="462" spans="3:10">
      <c r="C462" s="8"/>
      <c r="H462" s="9" t="str">
        <f>IF(G462="","",VLOOKUP(G462,业务功能_系统接口!$B$6:$H$1416,2,FALSE))</f>
        <v/>
      </c>
      <c r="I462" s="9" t="str">
        <f>IF(G462="","",VLOOKUP(G462,业务功能_系统接口!$B$6:$H$1416,3,FALSE))</f>
        <v/>
      </c>
      <c r="J462" s="9" t="str">
        <f>IF(G462="","",VLOOKUP(G462,业务功能_系统接口!$B$6:$H$1416,4,FALSE))</f>
        <v/>
      </c>
    </row>
    <row r="463" spans="3:10">
      <c r="C463" s="8"/>
      <c r="H463" s="9" t="str">
        <f>IF(G463="","",VLOOKUP(G463,业务功能_系统接口!$B$6:$H$1416,2,FALSE))</f>
        <v/>
      </c>
      <c r="I463" s="9" t="str">
        <f>IF(G463="","",VLOOKUP(G463,业务功能_系统接口!$B$6:$H$1416,3,FALSE))</f>
        <v/>
      </c>
      <c r="J463" s="9" t="str">
        <f>IF(G463="","",VLOOKUP(G463,业务功能_系统接口!$B$6:$H$1416,4,FALSE))</f>
        <v/>
      </c>
    </row>
    <row r="464" spans="3:10">
      <c r="C464" s="8"/>
      <c r="H464" s="9" t="str">
        <f>IF(G464="","",VLOOKUP(G464,业务功能_系统接口!$B$6:$H$1416,2,FALSE))</f>
        <v/>
      </c>
      <c r="I464" s="9" t="str">
        <f>IF(G464="","",VLOOKUP(G464,业务功能_系统接口!$B$6:$H$1416,3,FALSE))</f>
        <v/>
      </c>
      <c r="J464" s="9" t="str">
        <f>IF(G464="","",VLOOKUP(G464,业务功能_系统接口!$B$6:$H$1416,4,FALSE))</f>
        <v/>
      </c>
    </row>
    <row r="465" spans="3:10">
      <c r="C465" s="8"/>
      <c r="H465" s="9" t="str">
        <f>IF(G465="","",VLOOKUP(G465,业务功能_系统接口!$B$6:$H$1416,2,FALSE))</f>
        <v/>
      </c>
      <c r="I465" s="9" t="str">
        <f>IF(G465="","",VLOOKUP(G465,业务功能_系统接口!$B$6:$H$1416,3,FALSE))</f>
        <v/>
      </c>
      <c r="J465" s="9" t="str">
        <f>IF(G465="","",VLOOKUP(G465,业务功能_系统接口!$B$6:$H$1416,4,FALSE))</f>
        <v/>
      </c>
    </row>
    <row r="466" spans="3:10">
      <c r="C466" s="8"/>
      <c r="H466" s="9" t="str">
        <f>IF(G466="","",VLOOKUP(G466,业务功能_系统接口!$B$6:$H$1416,2,FALSE))</f>
        <v/>
      </c>
      <c r="I466" s="9" t="str">
        <f>IF(G466="","",VLOOKUP(G466,业务功能_系统接口!$B$6:$H$1416,3,FALSE))</f>
        <v/>
      </c>
      <c r="J466" s="9" t="str">
        <f>IF(G466="","",VLOOKUP(G466,业务功能_系统接口!$B$6:$H$1416,4,FALSE))</f>
        <v/>
      </c>
    </row>
    <row r="467" spans="3:10">
      <c r="C467" s="8"/>
      <c r="H467" s="9" t="str">
        <f>IF(G467="","",VLOOKUP(G467,业务功能_系统接口!$B$6:$H$1416,2,FALSE))</f>
        <v/>
      </c>
      <c r="I467" s="9" t="str">
        <f>IF(G467="","",VLOOKUP(G467,业务功能_系统接口!$B$6:$H$1416,3,FALSE))</f>
        <v/>
      </c>
      <c r="J467" s="9" t="str">
        <f>IF(G467="","",VLOOKUP(G467,业务功能_系统接口!$B$6:$H$1416,4,FALSE))</f>
        <v/>
      </c>
    </row>
    <row r="468" spans="3:10">
      <c r="C468" s="8"/>
      <c r="H468" s="9" t="str">
        <f>IF(G468="","",VLOOKUP(G468,业务功能_系统接口!$B$6:$H$1416,2,FALSE))</f>
        <v/>
      </c>
      <c r="I468" s="9" t="str">
        <f>IF(G468="","",VLOOKUP(G468,业务功能_系统接口!$B$6:$H$1416,3,FALSE))</f>
        <v/>
      </c>
      <c r="J468" s="9" t="str">
        <f>IF(G468="","",VLOOKUP(G468,业务功能_系统接口!$B$6:$H$1416,4,FALSE))</f>
        <v/>
      </c>
    </row>
    <row r="469" spans="3:10">
      <c r="C469" s="8"/>
      <c r="H469" s="9" t="str">
        <f>IF(G469="","",VLOOKUP(G469,业务功能_系统接口!$B$6:$H$1416,2,FALSE))</f>
        <v/>
      </c>
      <c r="I469" s="9" t="str">
        <f>IF(G469="","",VLOOKUP(G469,业务功能_系统接口!$B$6:$H$1416,3,FALSE))</f>
        <v/>
      </c>
      <c r="J469" s="9" t="str">
        <f>IF(G469="","",VLOOKUP(G469,业务功能_系统接口!$B$6:$H$1416,4,FALSE))</f>
        <v/>
      </c>
    </row>
    <row r="470" spans="3:10">
      <c r="C470" s="8"/>
      <c r="H470" s="9" t="str">
        <f>IF(G470="","",VLOOKUP(G470,业务功能_系统接口!$B$6:$H$1416,2,FALSE))</f>
        <v/>
      </c>
      <c r="I470" s="9" t="str">
        <f>IF(G470="","",VLOOKUP(G470,业务功能_系统接口!$B$6:$H$1416,3,FALSE))</f>
        <v/>
      </c>
      <c r="J470" s="9" t="str">
        <f>IF(G470="","",VLOOKUP(G470,业务功能_系统接口!$B$6:$H$1416,4,FALSE))</f>
        <v/>
      </c>
    </row>
    <row r="471" spans="3:10">
      <c r="C471" s="8"/>
      <c r="H471" s="9" t="str">
        <f>IF(G471="","",VLOOKUP(G471,业务功能_系统接口!$B$6:$H$1416,2,FALSE))</f>
        <v/>
      </c>
      <c r="I471" s="9" t="str">
        <f>IF(G471="","",VLOOKUP(G471,业务功能_系统接口!$B$6:$H$1416,3,FALSE))</f>
        <v/>
      </c>
      <c r="J471" s="9" t="str">
        <f>IF(G471="","",VLOOKUP(G471,业务功能_系统接口!$B$6:$H$1416,4,FALSE))</f>
        <v/>
      </c>
    </row>
    <row r="472" spans="3:10">
      <c r="C472" s="8"/>
      <c r="H472" s="9" t="str">
        <f>IF(G472="","",VLOOKUP(G472,业务功能_系统接口!$B$6:$H$1416,2,FALSE))</f>
        <v/>
      </c>
      <c r="I472" s="9" t="str">
        <f>IF(G472="","",VLOOKUP(G472,业务功能_系统接口!$B$6:$H$1416,3,FALSE))</f>
        <v/>
      </c>
      <c r="J472" s="9" t="str">
        <f>IF(G472="","",VLOOKUP(G472,业务功能_系统接口!$B$6:$H$1416,4,FALSE))</f>
        <v/>
      </c>
    </row>
    <row r="473" spans="3:10">
      <c r="C473" s="8"/>
      <c r="H473" s="9" t="str">
        <f>IF(G473="","",VLOOKUP(G473,业务功能_系统接口!$B$6:$H$1416,2,FALSE))</f>
        <v/>
      </c>
      <c r="I473" s="9" t="str">
        <f>IF(G473="","",VLOOKUP(G473,业务功能_系统接口!$B$6:$H$1416,3,FALSE))</f>
        <v/>
      </c>
      <c r="J473" s="9" t="str">
        <f>IF(G473="","",VLOOKUP(G473,业务功能_系统接口!$B$6:$H$1416,4,FALSE))</f>
        <v/>
      </c>
    </row>
    <row r="474" spans="3:10">
      <c r="C474" s="8"/>
      <c r="H474" s="9" t="str">
        <f>IF(G474="","",VLOOKUP(G474,业务功能_系统接口!$B$6:$H$1416,2,FALSE))</f>
        <v/>
      </c>
      <c r="I474" s="9" t="str">
        <f>IF(G474="","",VLOOKUP(G474,业务功能_系统接口!$B$6:$H$1416,3,FALSE))</f>
        <v/>
      </c>
      <c r="J474" s="9" t="str">
        <f>IF(G474="","",VLOOKUP(G474,业务功能_系统接口!$B$6:$H$1416,4,FALSE))</f>
        <v/>
      </c>
    </row>
    <row r="475" spans="3:10">
      <c r="C475" s="8"/>
      <c r="H475" s="9" t="str">
        <f>IF(G475="","",VLOOKUP(G475,业务功能_系统接口!$B$6:$H$1416,2,FALSE))</f>
        <v/>
      </c>
      <c r="I475" s="9" t="str">
        <f>IF(G475="","",VLOOKUP(G475,业务功能_系统接口!$B$6:$H$1416,3,FALSE))</f>
        <v/>
      </c>
      <c r="J475" s="9" t="str">
        <f>IF(G475="","",VLOOKUP(G475,业务功能_系统接口!$B$6:$H$1416,4,FALSE))</f>
        <v/>
      </c>
    </row>
    <row r="476" spans="3:10">
      <c r="C476" s="8"/>
      <c r="H476" s="9" t="str">
        <f>IF(G476="","",VLOOKUP(G476,业务功能_系统接口!$B$6:$H$1416,2,FALSE))</f>
        <v/>
      </c>
      <c r="I476" s="9" t="str">
        <f>IF(G476="","",VLOOKUP(G476,业务功能_系统接口!$B$6:$H$1416,3,FALSE))</f>
        <v/>
      </c>
      <c r="J476" s="9" t="str">
        <f>IF(G476="","",VLOOKUP(G476,业务功能_系统接口!$B$6:$H$1416,4,FALSE))</f>
        <v/>
      </c>
    </row>
    <row r="477" spans="3:10">
      <c r="C477" s="8"/>
      <c r="H477" s="9" t="str">
        <f>IF(G477="","",VLOOKUP(G477,业务功能_系统接口!$B$6:$H$1416,2,FALSE))</f>
        <v/>
      </c>
      <c r="I477" s="9" t="str">
        <f>IF(G477="","",VLOOKUP(G477,业务功能_系统接口!$B$6:$H$1416,3,FALSE))</f>
        <v/>
      </c>
      <c r="J477" s="9" t="str">
        <f>IF(G477="","",VLOOKUP(G477,业务功能_系统接口!$B$6:$H$1416,4,FALSE))</f>
        <v/>
      </c>
    </row>
    <row r="478" spans="3:10">
      <c r="C478" s="8"/>
      <c r="H478" s="9" t="str">
        <f>IF(G478="","",VLOOKUP(G478,业务功能_系统接口!$B$6:$H$1416,2,FALSE))</f>
        <v/>
      </c>
      <c r="I478" s="9" t="str">
        <f>IF(G478="","",VLOOKUP(G478,业务功能_系统接口!$B$6:$H$1416,3,FALSE))</f>
        <v/>
      </c>
      <c r="J478" s="9" t="str">
        <f>IF(G478="","",VLOOKUP(G478,业务功能_系统接口!$B$6:$H$1416,4,FALSE))</f>
        <v/>
      </c>
    </row>
    <row r="479" spans="3:10">
      <c r="C479" s="8"/>
      <c r="H479" s="9" t="str">
        <f>IF(G479="","",VLOOKUP(G479,业务功能_系统接口!$B$6:$H$1416,2,FALSE))</f>
        <v/>
      </c>
      <c r="I479" s="9" t="str">
        <f>IF(G479="","",VLOOKUP(G479,业务功能_系统接口!$B$6:$H$1416,3,FALSE))</f>
        <v/>
      </c>
      <c r="J479" s="9" t="str">
        <f>IF(G479="","",VLOOKUP(G479,业务功能_系统接口!$B$6:$H$1416,4,FALSE))</f>
        <v/>
      </c>
    </row>
    <row r="480" spans="3:10">
      <c r="C480" s="8"/>
      <c r="H480" s="9" t="str">
        <f>IF(G480="","",VLOOKUP(G480,业务功能_系统接口!$B$6:$H$1416,2,FALSE))</f>
        <v/>
      </c>
      <c r="I480" s="9" t="str">
        <f>IF(G480="","",VLOOKUP(G480,业务功能_系统接口!$B$6:$H$1416,3,FALSE))</f>
        <v/>
      </c>
      <c r="J480" s="9" t="str">
        <f>IF(G480="","",VLOOKUP(G480,业务功能_系统接口!$B$6:$H$1416,4,FALSE))</f>
        <v/>
      </c>
    </row>
    <row r="481" spans="3:10">
      <c r="C481" s="8"/>
      <c r="H481" s="9" t="str">
        <f>IF(G481="","",VLOOKUP(G481,业务功能_系统接口!$B$6:$H$1416,2,FALSE))</f>
        <v/>
      </c>
      <c r="I481" s="9" t="str">
        <f>IF(G481="","",VLOOKUP(G481,业务功能_系统接口!$B$6:$H$1416,3,FALSE))</f>
        <v/>
      </c>
      <c r="J481" s="9" t="str">
        <f>IF(G481="","",VLOOKUP(G481,业务功能_系统接口!$B$6:$H$1416,4,FALSE))</f>
        <v/>
      </c>
    </row>
    <row r="482" spans="3:10">
      <c r="C482" s="8"/>
      <c r="H482" s="9" t="str">
        <f>IF(G482="","",VLOOKUP(G482,业务功能_系统接口!$B$6:$H$1416,2,FALSE))</f>
        <v/>
      </c>
      <c r="I482" s="9" t="str">
        <f>IF(G482="","",VLOOKUP(G482,业务功能_系统接口!$B$6:$H$1416,3,FALSE))</f>
        <v/>
      </c>
      <c r="J482" s="9" t="str">
        <f>IF(G482="","",VLOOKUP(G482,业务功能_系统接口!$B$6:$H$1416,4,FALSE))</f>
        <v/>
      </c>
    </row>
    <row r="483" spans="3:10">
      <c r="C483" s="8"/>
      <c r="H483" s="9" t="str">
        <f>IF(G483="","",VLOOKUP(G483,业务功能_系统接口!$B$6:$H$1416,2,FALSE))</f>
        <v/>
      </c>
      <c r="I483" s="9" t="str">
        <f>IF(G483="","",VLOOKUP(G483,业务功能_系统接口!$B$6:$H$1416,3,FALSE))</f>
        <v/>
      </c>
      <c r="J483" s="9" t="str">
        <f>IF(G483="","",VLOOKUP(G483,业务功能_系统接口!$B$6:$H$1416,4,FALSE))</f>
        <v/>
      </c>
    </row>
    <row r="484" spans="3:10">
      <c r="C484" s="8"/>
      <c r="H484" s="9" t="str">
        <f>IF(G484="","",VLOOKUP(G484,业务功能_系统接口!$B$6:$H$1416,2,FALSE))</f>
        <v/>
      </c>
      <c r="I484" s="9" t="str">
        <f>IF(G484="","",VLOOKUP(G484,业务功能_系统接口!$B$6:$H$1416,3,FALSE))</f>
        <v/>
      </c>
      <c r="J484" s="9" t="str">
        <f>IF(G484="","",VLOOKUP(G484,业务功能_系统接口!$B$6:$H$1416,4,FALSE))</f>
        <v/>
      </c>
    </row>
    <row r="485" spans="3:10">
      <c r="C485" s="8"/>
      <c r="H485" s="9" t="str">
        <f>IF(G485="","",VLOOKUP(G485,业务功能_系统接口!$B$6:$H$1416,2,FALSE))</f>
        <v/>
      </c>
      <c r="I485" s="9" t="str">
        <f>IF(G485="","",VLOOKUP(G485,业务功能_系统接口!$B$6:$H$1416,3,FALSE))</f>
        <v/>
      </c>
      <c r="J485" s="9" t="str">
        <f>IF(G485="","",VLOOKUP(G485,业务功能_系统接口!$B$6:$H$1416,4,FALSE))</f>
        <v/>
      </c>
    </row>
    <row r="486" spans="3:10">
      <c r="C486" s="8"/>
      <c r="H486" s="9" t="str">
        <f>IF(G486="","",VLOOKUP(G486,业务功能_系统接口!$B$6:$H$1416,2,FALSE))</f>
        <v/>
      </c>
      <c r="I486" s="9" t="str">
        <f>IF(G486="","",VLOOKUP(G486,业务功能_系统接口!$B$6:$H$1416,3,FALSE))</f>
        <v/>
      </c>
      <c r="J486" s="9" t="str">
        <f>IF(G486="","",VLOOKUP(G486,业务功能_系统接口!$B$6:$H$1416,4,FALSE))</f>
        <v/>
      </c>
    </row>
    <row r="487" spans="3:10">
      <c r="C487" s="8"/>
      <c r="H487" s="9" t="str">
        <f>IF(G487="","",VLOOKUP(G487,业务功能_系统接口!$B$6:$H$1416,2,FALSE))</f>
        <v/>
      </c>
      <c r="I487" s="9" t="str">
        <f>IF(G487="","",VLOOKUP(G487,业务功能_系统接口!$B$6:$H$1416,3,FALSE))</f>
        <v/>
      </c>
      <c r="J487" s="9" t="str">
        <f>IF(G487="","",VLOOKUP(G487,业务功能_系统接口!$B$6:$H$1416,4,FALSE))</f>
        <v/>
      </c>
    </row>
    <row r="488" spans="3:10">
      <c r="C488" s="8"/>
      <c r="H488" s="9" t="str">
        <f>IF(G488="","",VLOOKUP(G488,业务功能_系统接口!$B$6:$H$1416,2,FALSE))</f>
        <v/>
      </c>
      <c r="I488" s="9" t="str">
        <f>IF(G488="","",VLOOKUP(G488,业务功能_系统接口!$B$6:$H$1416,3,FALSE))</f>
        <v/>
      </c>
      <c r="J488" s="9" t="str">
        <f>IF(G488="","",VLOOKUP(G488,业务功能_系统接口!$B$6:$H$1416,4,FALSE))</f>
        <v/>
      </c>
    </row>
    <row r="489" spans="3:10">
      <c r="C489" s="8"/>
      <c r="H489" s="9" t="str">
        <f>IF(G489="","",VLOOKUP(G489,业务功能_系统接口!$B$6:$H$1416,2,FALSE))</f>
        <v/>
      </c>
      <c r="I489" s="9" t="str">
        <f>IF(G489="","",VLOOKUP(G489,业务功能_系统接口!$B$6:$H$1416,3,FALSE))</f>
        <v/>
      </c>
      <c r="J489" s="9" t="str">
        <f>IF(G489="","",VLOOKUP(G489,业务功能_系统接口!$B$6:$H$1416,4,FALSE))</f>
        <v/>
      </c>
    </row>
    <row r="490" spans="3:10">
      <c r="C490" s="8"/>
      <c r="H490" s="9" t="str">
        <f>IF(G490="","",VLOOKUP(G490,业务功能_系统接口!$B$6:$H$1416,2,FALSE))</f>
        <v/>
      </c>
      <c r="I490" s="9" t="str">
        <f>IF(G490="","",VLOOKUP(G490,业务功能_系统接口!$B$6:$H$1416,3,FALSE))</f>
        <v/>
      </c>
      <c r="J490" s="9" t="str">
        <f>IF(G490="","",VLOOKUP(G490,业务功能_系统接口!$B$6:$H$1416,4,FALSE))</f>
        <v/>
      </c>
    </row>
    <row r="491" spans="3:10">
      <c r="C491" s="8"/>
      <c r="H491" s="9" t="str">
        <f>IF(G491="","",VLOOKUP(G491,业务功能_系统接口!$B$6:$H$1416,2,FALSE))</f>
        <v/>
      </c>
      <c r="I491" s="9" t="str">
        <f>IF(G491="","",VLOOKUP(G491,业务功能_系统接口!$B$6:$H$1416,3,FALSE))</f>
        <v/>
      </c>
      <c r="J491" s="9" t="str">
        <f>IF(G491="","",VLOOKUP(G491,业务功能_系统接口!$B$6:$H$1416,4,FALSE))</f>
        <v/>
      </c>
    </row>
    <row r="492" spans="3:10">
      <c r="C492" s="8"/>
      <c r="H492" s="9" t="str">
        <f>IF(G492="","",VLOOKUP(G492,业务功能_系统接口!$B$6:$H$1416,2,FALSE))</f>
        <v/>
      </c>
      <c r="I492" s="9" t="str">
        <f>IF(G492="","",VLOOKUP(G492,业务功能_系统接口!$B$6:$H$1416,3,FALSE))</f>
        <v/>
      </c>
      <c r="J492" s="9" t="str">
        <f>IF(G492="","",VLOOKUP(G492,业务功能_系统接口!$B$6:$H$1416,4,FALSE))</f>
        <v/>
      </c>
    </row>
    <row r="493" spans="3:10">
      <c r="C493" s="8"/>
      <c r="H493" s="9" t="str">
        <f>IF(G493="","",VLOOKUP(G493,业务功能_系统接口!$B$6:$H$1416,2,FALSE))</f>
        <v/>
      </c>
      <c r="I493" s="9" t="str">
        <f>IF(G493="","",VLOOKUP(G493,业务功能_系统接口!$B$6:$H$1416,3,FALSE))</f>
        <v/>
      </c>
      <c r="J493" s="9" t="str">
        <f>IF(G493="","",VLOOKUP(G493,业务功能_系统接口!$B$6:$H$1416,4,FALSE))</f>
        <v/>
      </c>
    </row>
    <row r="494" spans="3:10">
      <c r="C494" s="8"/>
      <c r="H494" s="9" t="str">
        <f>IF(G494="","",VLOOKUP(G494,业务功能_系统接口!$B$6:$H$1416,2,FALSE))</f>
        <v/>
      </c>
      <c r="I494" s="9" t="str">
        <f>IF(G494="","",VLOOKUP(G494,业务功能_系统接口!$B$6:$H$1416,3,FALSE))</f>
        <v/>
      </c>
      <c r="J494" s="9" t="str">
        <f>IF(G494="","",VLOOKUP(G494,业务功能_系统接口!$B$6:$H$1416,4,FALSE))</f>
        <v/>
      </c>
    </row>
    <row r="495" spans="3:10">
      <c r="C495" s="8"/>
      <c r="H495" s="9" t="str">
        <f>IF(G495="","",VLOOKUP(G495,业务功能_系统接口!$B$6:$H$1416,2,FALSE))</f>
        <v/>
      </c>
      <c r="I495" s="9" t="str">
        <f>IF(G495="","",VLOOKUP(G495,业务功能_系统接口!$B$6:$H$1416,3,FALSE))</f>
        <v/>
      </c>
      <c r="J495" s="9" t="str">
        <f>IF(G495="","",VLOOKUP(G495,业务功能_系统接口!$B$6:$H$1416,4,FALSE))</f>
        <v/>
      </c>
    </row>
    <row r="496" spans="3:10">
      <c r="C496" s="8"/>
      <c r="H496" s="9" t="str">
        <f>IF(G496="","",VLOOKUP(G496,业务功能_系统接口!$B$6:$H$1416,2,FALSE))</f>
        <v/>
      </c>
      <c r="I496" s="9" t="str">
        <f>IF(G496="","",VLOOKUP(G496,业务功能_系统接口!$B$6:$H$1416,3,FALSE))</f>
        <v/>
      </c>
      <c r="J496" s="9" t="str">
        <f>IF(G496="","",VLOOKUP(G496,业务功能_系统接口!$B$6:$H$1416,4,FALSE))</f>
        <v/>
      </c>
    </row>
    <row r="497" spans="3:10">
      <c r="C497" s="8"/>
      <c r="H497" s="9" t="str">
        <f>IF(G497="","",VLOOKUP(G497,业务功能_系统接口!$B$6:$H$1416,2,FALSE))</f>
        <v/>
      </c>
      <c r="I497" s="9" t="str">
        <f>IF(G497="","",VLOOKUP(G497,业务功能_系统接口!$B$6:$H$1416,3,FALSE))</f>
        <v/>
      </c>
      <c r="J497" s="9" t="str">
        <f>IF(G497="","",VLOOKUP(G497,业务功能_系统接口!$B$6:$H$1416,4,FALSE))</f>
        <v/>
      </c>
    </row>
    <row r="498" spans="3:10">
      <c r="C498" s="8"/>
      <c r="H498" s="9" t="str">
        <f>IF(G498="","",VLOOKUP(G498,业务功能_系统接口!$B$6:$H$1416,2,FALSE))</f>
        <v/>
      </c>
      <c r="I498" s="9" t="str">
        <f>IF(G498="","",VLOOKUP(G498,业务功能_系统接口!$B$6:$H$1416,3,FALSE))</f>
        <v/>
      </c>
      <c r="J498" s="9" t="str">
        <f>IF(G498="","",VLOOKUP(G498,业务功能_系统接口!$B$6:$H$1416,4,FALSE))</f>
        <v/>
      </c>
    </row>
    <row r="499" spans="3:10">
      <c r="C499" s="8"/>
      <c r="H499" s="9" t="str">
        <f>IF(G499="","",VLOOKUP(G499,业务功能_系统接口!$B$6:$H$1416,2,FALSE))</f>
        <v/>
      </c>
      <c r="I499" s="9" t="str">
        <f>IF(G499="","",VLOOKUP(G499,业务功能_系统接口!$B$6:$H$1416,3,FALSE))</f>
        <v/>
      </c>
      <c r="J499" s="9" t="str">
        <f>IF(G499="","",VLOOKUP(G499,业务功能_系统接口!$B$6:$H$1416,4,FALSE))</f>
        <v/>
      </c>
    </row>
    <row r="500" spans="3:10">
      <c r="C500" s="8"/>
      <c r="H500" s="9" t="str">
        <f>IF(G500="","",VLOOKUP(G500,业务功能_系统接口!$B$6:$H$1416,2,FALSE))</f>
        <v/>
      </c>
      <c r="I500" s="9" t="str">
        <f>IF(G500="","",VLOOKUP(G500,业务功能_系统接口!$B$6:$H$1416,3,FALSE))</f>
        <v/>
      </c>
      <c r="J500" s="9" t="str">
        <f>IF(G500="","",VLOOKUP(G500,业务功能_系统接口!$B$6:$H$1416,4,FALSE))</f>
        <v/>
      </c>
    </row>
    <row r="501" spans="3:10">
      <c r="C501" s="8"/>
      <c r="H501" s="9" t="str">
        <f>IF(G501="","",VLOOKUP(G501,业务功能_系统接口!$B$6:$H$1416,2,FALSE))</f>
        <v/>
      </c>
      <c r="I501" s="9" t="str">
        <f>IF(G501="","",VLOOKUP(G501,业务功能_系统接口!$B$6:$H$1416,3,FALSE))</f>
        <v/>
      </c>
      <c r="J501" s="9" t="str">
        <f>IF(G501="","",VLOOKUP(G501,业务功能_系统接口!$B$6:$H$1416,4,FALSE))</f>
        <v/>
      </c>
    </row>
    <row r="502" spans="3:10">
      <c r="C502" s="8"/>
      <c r="H502" s="9" t="str">
        <f>IF(G502="","",VLOOKUP(G502,业务功能_系统接口!$B$6:$H$1416,2,FALSE))</f>
        <v/>
      </c>
      <c r="I502" s="9" t="str">
        <f>IF(G502="","",VLOOKUP(G502,业务功能_系统接口!$B$6:$H$1416,3,FALSE))</f>
        <v/>
      </c>
      <c r="J502" s="9" t="str">
        <f>IF(G502="","",VLOOKUP(G502,业务功能_系统接口!$B$6:$H$1416,4,FALSE))</f>
        <v/>
      </c>
    </row>
    <row r="503" spans="3:10">
      <c r="C503" s="8"/>
      <c r="H503" s="9" t="str">
        <f>IF(G503="","",VLOOKUP(G503,业务功能_系统接口!$B$6:$H$1416,2,FALSE))</f>
        <v/>
      </c>
      <c r="I503" s="9" t="str">
        <f>IF(G503="","",VLOOKUP(G503,业务功能_系统接口!$B$6:$H$1416,3,FALSE))</f>
        <v/>
      </c>
      <c r="J503" s="9" t="str">
        <f>IF(G503="","",VLOOKUP(G503,业务功能_系统接口!$B$6:$H$1416,4,FALSE))</f>
        <v/>
      </c>
    </row>
    <row r="504" spans="3:10">
      <c r="C504" s="8"/>
      <c r="H504" s="9" t="str">
        <f>IF(G504="","",VLOOKUP(G504,业务功能_系统接口!$B$6:$H$1416,2,FALSE))</f>
        <v/>
      </c>
      <c r="I504" s="9" t="str">
        <f>IF(G504="","",VLOOKUP(G504,业务功能_系统接口!$B$6:$H$1416,3,FALSE))</f>
        <v/>
      </c>
      <c r="J504" s="9" t="str">
        <f>IF(G504="","",VLOOKUP(G504,业务功能_系统接口!$B$6:$H$1416,4,FALSE))</f>
        <v/>
      </c>
    </row>
    <row r="505" spans="3:10">
      <c r="C505" s="8"/>
      <c r="H505" s="9" t="str">
        <f>IF(G505="","",VLOOKUP(G505,业务功能_系统接口!$B$6:$H$1416,2,FALSE))</f>
        <v/>
      </c>
      <c r="I505" s="9" t="str">
        <f>IF(G505="","",VLOOKUP(G505,业务功能_系统接口!$B$6:$H$1416,3,FALSE))</f>
        <v/>
      </c>
      <c r="J505" s="9" t="str">
        <f>IF(G505="","",VLOOKUP(G505,业务功能_系统接口!$B$6:$H$1416,4,FALSE))</f>
        <v/>
      </c>
    </row>
    <row r="506" spans="3:10">
      <c r="C506" s="8"/>
      <c r="H506" s="9" t="str">
        <f>IF(G506="","",VLOOKUP(G506,业务功能_系统接口!$B$6:$H$1416,2,FALSE))</f>
        <v/>
      </c>
      <c r="I506" s="9" t="str">
        <f>IF(G506="","",VLOOKUP(G506,业务功能_系统接口!$B$6:$H$1416,3,FALSE))</f>
        <v/>
      </c>
      <c r="J506" s="9" t="str">
        <f>IF(G506="","",VLOOKUP(G506,业务功能_系统接口!$B$6:$H$1416,4,FALSE))</f>
        <v/>
      </c>
    </row>
    <row r="507" spans="3:10">
      <c r="C507" s="8"/>
      <c r="H507" s="9" t="str">
        <f>IF(G507="","",VLOOKUP(G507,业务功能_系统接口!$B$6:$H$1416,2,FALSE))</f>
        <v/>
      </c>
      <c r="I507" s="9" t="str">
        <f>IF(G507="","",VLOOKUP(G507,业务功能_系统接口!$B$6:$H$1416,3,FALSE))</f>
        <v/>
      </c>
      <c r="J507" s="9" t="str">
        <f>IF(G507="","",VLOOKUP(G507,业务功能_系统接口!$B$6:$H$1416,4,FALSE))</f>
        <v/>
      </c>
    </row>
    <row r="508" spans="3:10">
      <c r="C508" s="8"/>
      <c r="H508" s="9" t="str">
        <f>IF(G508="","",VLOOKUP(G508,业务功能_系统接口!$B$6:$H$1416,2,FALSE))</f>
        <v/>
      </c>
      <c r="I508" s="9" t="str">
        <f>IF(G508="","",VLOOKUP(G508,业务功能_系统接口!$B$6:$H$1416,3,FALSE))</f>
        <v/>
      </c>
      <c r="J508" s="9" t="str">
        <f>IF(G508="","",VLOOKUP(G508,业务功能_系统接口!$B$6:$H$1416,4,FALSE))</f>
        <v/>
      </c>
    </row>
    <row r="509" spans="3:10">
      <c r="C509" s="8"/>
      <c r="H509" s="9" t="str">
        <f>IF(G509="","",VLOOKUP(G509,业务功能_系统接口!$B$6:$H$1416,2,FALSE))</f>
        <v/>
      </c>
      <c r="I509" s="9" t="str">
        <f>IF(G509="","",VLOOKUP(G509,业务功能_系统接口!$B$6:$H$1416,3,FALSE))</f>
        <v/>
      </c>
      <c r="J509" s="9" t="str">
        <f>IF(G509="","",VLOOKUP(G509,业务功能_系统接口!$B$6:$H$1416,4,FALSE))</f>
        <v/>
      </c>
    </row>
    <row r="510" spans="3:10">
      <c r="C510" s="8"/>
      <c r="H510" s="9" t="str">
        <f>IF(G510="","",VLOOKUP(G510,业务功能_系统接口!$B$6:$H$1416,2,FALSE))</f>
        <v/>
      </c>
      <c r="I510" s="9" t="str">
        <f>IF(G510="","",VLOOKUP(G510,业务功能_系统接口!$B$6:$H$1416,3,FALSE))</f>
        <v/>
      </c>
      <c r="J510" s="9" t="str">
        <f>IF(G510="","",VLOOKUP(G510,业务功能_系统接口!$B$6:$H$1416,4,FALSE))</f>
        <v/>
      </c>
    </row>
    <row r="511" spans="3:10">
      <c r="C511" s="8"/>
      <c r="H511" s="9" t="str">
        <f>IF(G511="","",VLOOKUP(G511,业务功能_系统接口!$B$6:$H$1416,2,FALSE))</f>
        <v/>
      </c>
      <c r="I511" s="9" t="str">
        <f>IF(G511="","",VLOOKUP(G511,业务功能_系统接口!$B$6:$H$1416,3,FALSE))</f>
        <v/>
      </c>
      <c r="J511" s="9" t="str">
        <f>IF(G511="","",VLOOKUP(G511,业务功能_系统接口!$B$6:$H$1416,4,FALSE))</f>
        <v/>
      </c>
    </row>
    <row r="512" spans="3:10">
      <c r="C512" s="8"/>
      <c r="H512" s="9" t="str">
        <f>IF(G512="","",VLOOKUP(G512,业务功能_系统接口!$B$6:$H$1416,2,FALSE))</f>
        <v/>
      </c>
      <c r="I512" s="9" t="str">
        <f>IF(G512="","",VLOOKUP(G512,业务功能_系统接口!$B$6:$H$1416,3,FALSE))</f>
        <v/>
      </c>
      <c r="J512" s="9" t="str">
        <f>IF(G512="","",VLOOKUP(G512,业务功能_系统接口!$B$6:$H$1416,4,FALSE))</f>
        <v/>
      </c>
    </row>
    <row r="513" spans="3:10">
      <c r="C513" s="8"/>
      <c r="H513" s="9" t="str">
        <f>IF(G513="","",VLOOKUP(G513,业务功能_系统接口!$B$6:$H$1416,2,FALSE))</f>
        <v/>
      </c>
      <c r="I513" s="9" t="str">
        <f>IF(G513="","",VLOOKUP(G513,业务功能_系统接口!$B$6:$H$1416,3,FALSE))</f>
        <v/>
      </c>
      <c r="J513" s="9" t="str">
        <f>IF(G513="","",VLOOKUP(G513,业务功能_系统接口!$B$6:$H$1416,4,FALSE))</f>
        <v/>
      </c>
    </row>
    <row r="514" spans="3:10">
      <c r="C514" s="8"/>
      <c r="H514" s="9" t="str">
        <f>IF(G514="","",VLOOKUP(G514,业务功能_系统接口!$B$6:$H$1416,2,FALSE))</f>
        <v/>
      </c>
      <c r="I514" s="9" t="str">
        <f>IF(G514="","",VLOOKUP(G514,业务功能_系统接口!$B$6:$H$1416,3,FALSE))</f>
        <v/>
      </c>
      <c r="J514" s="9" t="str">
        <f>IF(G514="","",VLOOKUP(G514,业务功能_系统接口!$B$6:$H$1416,4,FALSE))</f>
        <v/>
      </c>
    </row>
    <row r="515" spans="3:10">
      <c r="C515" s="8"/>
      <c r="H515" s="9" t="str">
        <f>IF(G515="","",VLOOKUP(G515,业务功能_系统接口!$B$6:$H$1416,2,FALSE))</f>
        <v/>
      </c>
      <c r="I515" s="9" t="str">
        <f>IF(G515="","",VLOOKUP(G515,业务功能_系统接口!$B$6:$H$1416,3,FALSE))</f>
        <v/>
      </c>
      <c r="J515" s="9" t="str">
        <f>IF(G515="","",VLOOKUP(G515,业务功能_系统接口!$B$6:$H$1416,4,FALSE))</f>
        <v/>
      </c>
    </row>
    <row r="516" spans="3:10">
      <c r="C516" s="8"/>
      <c r="H516" s="9" t="str">
        <f>IF(G516="","",VLOOKUP(G516,业务功能_系统接口!$B$6:$H$1416,2,FALSE))</f>
        <v/>
      </c>
      <c r="I516" s="9" t="str">
        <f>IF(G516="","",VLOOKUP(G516,业务功能_系统接口!$B$6:$H$1416,3,FALSE))</f>
        <v/>
      </c>
      <c r="J516" s="9" t="str">
        <f>IF(G516="","",VLOOKUP(G516,业务功能_系统接口!$B$6:$H$1416,4,FALSE))</f>
        <v/>
      </c>
    </row>
    <row r="517" spans="3:10">
      <c r="C517" s="8"/>
      <c r="H517" s="9" t="str">
        <f>IF(G517="","",VLOOKUP(G517,业务功能_系统接口!$B$6:$H$1416,2,FALSE))</f>
        <v/>
      </c>
      <c r="I517" s="9" t="str">
        <f>IF(G517="","",VLOOKUP(G517,业务功能_系统接口!$B$6:$H$1416,3,FALSE))</f>
        <v/>
      </c>
      <c r="J517" s="9" t="str">
        <f>IF(G517="","",VLOOKUP(G517,业务功能_系统接口!$B$6:$H$1416,4,FALSE))</f>
        <v/>
      </c>
    </row>
    <row r="518" spans="3:10">
      <c r="C518" s="8"/>
      <c r="H518" s="9" t="str">
        <f>IF(G518="","",VLOOKUP(G518,业务功能_系统接口!$B$6:$H$1416,2,FALSE))</f>
        <v/>
      </c>
      <c r="I518" s="9" t="str">
        <f>IF(G518="","",VLOOKUP(G518,业务功能_系统接口!$B$6:$H$1416,3,FALSE))</f>
        <v/>
      </c>
      <c r="J518" s="9" t="str">
        <f>IF(G518="","",VLOOKUP(G518,业务功能_系统接口!$B$6:$H$1416,4,FALSE))</f>
        <v/>
      </c>
    </row>
    <row r="519" spans="3:10">
      <c r="C519" s="8"/>
      <c r="H519" s="9" t="str">
        <f>IF(G519="","",VLOOKUP(G519,业务功能_系统接口!$B$6:$H$1416,2,FALSE))</f>
        <v/>
      </c>
      <c r="I519" s="9" t="str">
        <f>IF(G519="","",VLOOKUP(G519,业务功能_系统接口!$B$6:$H$1416,3,FALSE))</f>
        <v/>
      </c>
      <c r="J519" s="9" t="str">
        <f>IF(G519="","",VLOOKUP(G519,业务功能_系统接口!$B$6:$H$1416,4,FALSE))</f>
        <v/>
      </c>
    </row>
    <row r="520" spans="3:10">
      <c r="C520" s="8"/>
      <c r="H520" s="9" t="str">
        <f>IF(G520="","",VLOOKUP(G520,业务功能_系统接口!$B$6:$H$1416,2,FALSE))</f>
        <v/>
      </c>
      <c r="I520" s="9" t="str">
        <f>IF(G520="","",VLOOKUP(G520,业务功能_系统接口!$B$6:$H$1416,3,FALSE))</f>
        <v/>
      </c>
      <c r="J520" s="9" t="str">
        <f>IF(G520="","",VLOOKUP(G520,业务功能_系统接口!$B$6:$H$1416,4,FALSE))</f>
        <v/>
      </c>
    </row>
    <row r="521" spans="3:10">
      <c r="C521" s="8"/>
      <c r="H521" s="9" t="str">
        <f>IF(G521="","",VLOOKUP(G521,业务功能_系统接口!$B$6:$H$1416,2,FALSE))</f>
        <v/>
      </c>
      <c r="I521" s="9" t="str">
        <f>IF(G521="","",VLOOKUP(G521,业务功能_系统接口!$B$6:$H$1416,3,FALSE))</f>
        <v/>
      </c>
      <c r="J521" s="9" t="str">
        <f>IF(G521="","",VLOOKUP(G521,业务功能_系统接口!$B$6:$H$1416,4,FALSE))</f>
        <v/>
      </c>
    </row>
    <row r="522" spans="3:10">
      <c r="C522" s="8"/>
      <c r="H522" s="9" t="str">
        <f>IF(G522="","",VLOOKUP(G522,业务功能_系统接口!$B$6:$H$1416,2,FALSE))</f>
        <v/>
      </c>
      <c r="I522" s="9" t="str">
        <f>IF(G522="","",VLOOKUP(G522,业务功能_系统接口!$B$6:$H$1416,3,FALSE))</f>
        <v/>
      </c>
      <c r="J522" s="9" t="str">
        <f>IF(G522="","",VLOOKUP(G522,业务功能_系统接口!$B$6:$H$1416,4,FALSE))</f>
        <v/>
      </c>
    </row>
    <row r="523" spans="3:10">
      <c r="C523" s="8"/>
      <c r="H523" s="9" t="str">
        <f>IF(G523="","",VLOOKUP(G523,业务功能_系统接口!$B$6:$H$1416,2,FALSE))</f>
        <v/>
      </c>
      <c r="I523" s="9" t="str">
        <f>IF(G523="","",VLOOKUP(G523,业务功能_系统接口!$B$6:$H$1416,3,FALSE))</f>
        <v/>
      </c>
      <c r="J523" s="9" t="str">
        <f>IF(G523="","",VLOOKUP(G523,业务功能_系统接口!$B$6:$H$1416,4,FALSE))</f>
        <v/>
      </c>
    </row>
    <row r="524" spans="3:10">
      <c r="C524" s="8"/>
      <c r="H524" s="9" t="str">
        <f>IF(G524="","",VLOOKUP(G524,业务功能_系统接口!$B$6:$H$1416,2,FALSE))</f>
        <v/>
      </c>
      <c r="I524" s="9" t="str">
        <f>IF(G524="","",VLOOKUP(G524,业务功能_系统接口!$B$6:$H$1416,3,FALSE))</f>
        <v/>
      </c>
      <c r="J524" s="9" t="str">
        <f>IF(G524="","",VLOOKUP(G524,业务功能_系统接口!$B$6:$H$1416,4,FALSE))</f>
        <v/>
      </c>
    </row>
    <row r="525" spans="3:10">
      <c r="C525" s="8"/>
      <c r="H525" s="9" t="str">
        <f>IF(G525="","",VLOOKUP(G525,业务功能_系统接口!$B$6:$H$1416,2,FALSE))</f>
        <v/>
      </c>
      <c r="I525" s="9" t="str">
        <f>IF(G525="","",VLOOKUP(G525,业务功能_系统接口!$B$6:$H$1416,3,FALSE))</f>
        <v/>
      </c>
      <c r="J525" s="9" t="str">
        <f>IF(G525="","",VLOOKUP(G525,业务功能_系统接口!$B$6:$H$1416,4,FALSE))</f>
        <v/>
      </c>
    </row>
    <row r="526" spans="3:10">
      <c r="C526" s="8"/>
      <c r="H526" s="9" t="str">
        <f>IF(G526="","",VLOOKUP(G526,业务功能_系统接口!$B$6:$H$1416,2,FALSE))</f>
        <v/>
      </c>
      <c r="I526" s="9" t="str">
        <f>IF(G526="","",VLOOKUP(G526,业务功能_系统接口!$B$6:$H$1416,3,FALSE))</f>
        <v/>
      </c>
      <c r="J526" s="9" t="str">
        <f>IF(G526="","",VLOOKUP(G526,业务功能_系统接口!$B$6:$H$1416,4,FALSE))</f>
        <v/>
      </c>
    </row>
    <row r="527" spans="3:10">
      <c r="C527" s="8"/>
      <c r="H527" s="9" t="str">
        <f>IF(G527="","",VLOOKUP(G527,业务功能_系统接口!$B$6:$H$1416,2,FALSE))</f>
        <v/>
      </c>
      <c r="I527" s="9" t="str">
        <f>IF(G527="","",VLOOKUP(G527,业务功能_系统接口!$B$6:$H$1416,3,FALSE))</f>
        <v/>
      </c>
      <c r="J527" s="9" t="str">
        <f>IF(G527="","",VLOOKUP(G527,业务功能_系统接口!$B$6:$H$1416,4,FALSE))</f>
        <v/>
      </c>
    </row>
    <row r="528" spans="3:10">
      <c r="C528" s="8"/>
      <c r="H528" s="9" t="str">
        <f>IF(G528="","",VLOOKUP(G528,业务功能_系统接口!$B$6:$H$1416,2,FALSE))</f>
        <v/>
      </c>
      <c r="I528" s="9" t="str">
        <f>IF(G528="","",VLOOKUP(G528,业务功能_系统接口!$B$6:$H$1416,3,FALSE))</f>
        <v/>
      </c>
      <c r="J528" s="9" t="str">
        <f>IF(G528="","",VLOOKUP(G528,业务功能_系统接口!$B$6:$H$1416,4,FALSE))</f>
        <v/>
      </c>
    </row>
    <row r="529" spans="3:10">
      <c r="C529" s="8"/>
      <c r="H529" s="9" t="str">
        <f>IF(G529="","",VLOOKUP(G529,业务功能_系统接口!$B$6:$H$1416,2,FALSE))</f>
        <v/>
      </c>
      <c r="I529" s="9" t="str">
        <f>IF(G529="","",VLOOKUP(G529,业务功能_系统接口!$B$6:$H$1416,3,FALSE))</f>
        <v/>
      </c>
      <c r="J529" s="9" t="str">
        <f>IF(G529="","",VLOOKUP(G529,业务功能_系统接口!$B$6:$H$1416,4,FALSE))</f>
        <v/>
      </c>
    </row>
    <row r="530" spans="3:10">
      <c r="C530" s="8"/>
      <c r="H530" s="9" t="str">
        <f>IF(G530="","",VLOOKUP(G530,业务功能_系统接口!$B$6:$H$1416,2,FALSE))</f>
        <v/>
      </c>
      <c r="I530" s="9" t="str">
        <f>IF(G530="","",VLOOKUP(G530,业务功能_系统接口!$B$6:$H$1416,3,FALSE))</f>
        <v/>
      </c>
      <c r="J530" s="9" t="str">
        <f>IF(G530="","",VLOOKUP(G530,业务功能_系统接口!$B$6:$H$1416,4,FALSE))</f>
        <v/>
      </c>
    </row>
    <row r="531" spans="3:10">
      <c r="C531" s="8"/>
      <c r="H531" s="9" t="str">
        <f>IF(G531="","",VLOOKUP(G531,业务功能_系统接口!$B$6:$H$1416,2,FALSE))</f>
        <v/>
      </c>
      <c r="I531" s="9" t="str">
        <f>IF(G531="","",VLOOKUP(G531,业务功能_系统接口!$B$6:$H$1416,3,FALSE))</f>
        <v/>
      </c>
      <c r="J531" s="9" t="str">
        <f>IF(G531="","",VLOOKUP(G531,业务功能_系统接口!$B$6:$H$1416,4,FALSE))</f>
        <v/>
      </c>
    </row>
    <row r="532" spans="3:10">
      <c r="C532" s="8"/>
      <c r="H532" s="9" t="str">
        <f>IF(G532="","",VLOOKUP(G532,业务功能_系统接口!$B$6:$H$1416,2,FALSE))</f>
        <v/>
      </c>
      <c r="I532" s="9" t="str">
        <f>IF(G532="","",VLOOKUP(G532,业务功能_系统接口!$B$6:$H$1416,3,FALSE))</f>
        <v/>
      </c>
      <c r="J532" s="9" t="str">
        <f>IF(G532="","",VLOOKUP(G532,业务功能_系统接口!$B$6:$H$1416,4,FALSE))</f>
        <v/>
      </c>
    </row>
    <row r="533" spans="3:10">
      <c r="C533" s="8"/>
      <c r="H533" s="9" t="str">
        <f>IF(G533="","",VLOOKUP(G533,业务功能_系统接口!$B$6:$H$1416,2,FALSE))</f>
        <v/>
      </c>
      <c r="I533" s="9" t="str">
        <f>IF(G533="","",VLOOKUP(G533,业务功能_系统接口!$B$6:$H$1416,3,FALSE))</f>
        <v/>
      </c>
      <c r="J533" s="9" t="str">
        <f>IF(G533="","",VLOOKUP(G533,业务功能_系统接口!$B$6:$H$1416,4,FALSE))</f>
        <v/>
      </c>
    </row>
    <row r="534" spans="3:10">
      <c r="C534" s="8"/>
      <c r="H534" s="9" t="str">
        <f>IF(G534="","",VLOOKUP(G534,业务功能_系统接口!$B$6:$H$1416,2,FALSE))</f>
        <v/>
      </c>
      <c r="I534" s="9" t="str">
        <f>IF(G534="","",VLOOKUP(G534,业务功能_系统接口!$B$6:$H$1416,3,FALSE))</f>
        <v/>
      </c>
      <c r="J534" s="9" t="str">
        <f>IF(G534="","",VLOOKUP(G534,业务功能_系统接口!$B$6:$H$1416,4,FALSE))</f>
        <v/>
      </c>
    </row>
    <row r="535" spans="3:10">
      <c r="C535" s="8"/>
      <c r="H535" s="9" t="str">
        <f>IF(G535="","",VLOOKUP(G535,业务功能_系统接口!$B$6:$H$1416,2,FALSE))</f>
        <v/>
      </c>
      <c r="I535" s="9" t="str">
        <f>IF(G535="","",VLOOKUP(G535,业务功能_系统接口!$B$6:$H$1416,3,FALSE))</f>
        <v/>
      </c>
      <c r="J535" s="9" t="str">
        <f>IF(G535="","",VLOOKUP(G535,业务功能_系统接口!$B$6:$H$1416,4,FALSE))</f>
        <v/>
      </c>
    </row>
    <row r="536" spans="3:10">
      <c r="C536" s="8"/>
      <c r="H536" s="9" t="str">
        <f>IF(G536="","",VLOOKUP(G536,业务功能_系统接口!$B$6:$H$1416,2,FALSE))</f>
        <v/>
      </c>
      <c r="I536" s="9" t="str">
        <f>IF(G536="","",VLOOKUP(G536,业务功能_系统接口!$B$6:$H$1416,3,FALSE))</f>
        <v/>
      </c>
      <c r="J536" s="9" t="str">
        <f>IF(G536="","",VLOOKUP(G536,业务功能_系统接口!$B$6:$H$1416,4,FALSE))</f>
        <v/>
      </c>
    </row>
    <row r="537" spans="3:10">
      <c r="C537" s="8"/>
      <c r="H537" s="9" t="str">
        <f>IF(G537="","",VLOOKUP(G537,业务功能_系统接口!$B$6:$H$1416,2,FALSE))</f>
        <v/>
      </c>
      <c r="I537" s="9" t="str">
        <f>IF(G537="","",VLOOKUP(G537,业务功能_系统接口!$B$6:$H$1416,3,FALSE))</f>
        <v/>
      </c>
      <c r="J537" s="9" t="str">
        <f>IF(G537="","",VLOOKUP(G537,业务功能_系统接口!$B$6:$H$1416,4,FALSE))</f>
        <v/>
      </c>
    </row>
    <row r="538" spans="3:10">
      <c r="C538" s="8"/>
      <c r="H538" s="9" t="str">
        <f>IF(G538="","",VLOOKUP(G538,业务功能_系统接口!$B$6:$H$1416,2,FALSE))</f>
        <v/>
      </c>
      <c r="I538" s="9" t="str">
        <f>IF(G538="","",VLOOKUP(G538,业务功能_系统接口!$B$6:$H$1416,3,FALSE))</f>
        <v/>
      </c>
      <c r="J538" s="9" t="str">
        <f>IF(G538="","",VLOOKUP(G538,业务功能_系统接口!$B$6:$H$1416,4,FALSE))</f>
        <v/>
      </c>
    </row>
    <row r="539" spans="3:10">
      <c r="C539" s="8"/>
      <c r="H539" s="9" t="str">
        <f>IF(G539="","",VLOOKUP(G539,业务功能_系统接口!$B$6:$H$1416,2,FALSE))</f>
        <v/>
      </c>
      <c r="I539" s="9" t="str">
        <f>IF(G539="","",VLOOKUP(G539,业务功能_系统接口!$B$6:$H$1416,3,FALSE))</f>
        <v/>
      </c>
      <c r="J539" s="9" t="str">
        <f>IF(G539="","",VLOOKUP(G539,业务功能_系统接口!$B$6:$H$1416,4,FALSE))</f>
        <v/>
      </c>
    </row>
    <row r="540" spans="3:10">
      <c r="C540" s="8"/>
      <c r="H540" s="9" t="str">
        <f>IF(G540="","",VLOOKUP(G540,业务功能_系统接口!$B$6:$H$1416,2,FALSE))</f>
        <v/>
      </c>
      <c r="I540" s="9" t="str">
        <f>IF(G540="","",VLOOKUP(G540,业务功能_系统接口!$B$6:$H$1416,3,FALSE))</f>
        <v/>
      </c>
      <c r="J540" s="9" t="str">
        <f>IF(G540="","",VLOOKUP(G540,业务功能_系统接口!$B$6:$H$1416,4,FALSE))</f>
        <v/>
      </c>
    </row>
    <row r="541" spans="3:10">
      <c r="C541" s="8"/>
      <c r="H541" s="9" t="str">
        <f>IF(G541="","",VLOOKUP(G541,业务功能_系统接口!$B$6:$H$1416,2,FALSE))</f>
        <v/>
      </c>
      <c r="I541" s="9" t="str">
        <f>IF(G541="","",VLOOKUP(G541,业务功能_系统接口!$B$6:$H$1416,3,FALSE))</f>
        <v/>
      </c>
      <c r="J541" s="9" t="str">
        <f>IF(G541="","",VLOOKUP(G541,业务功能_系统接口!$B$6:$H$1416,4,FALSE))</f>
        <v/>
      </c>
    </row>
    <row r="542" spans="3:10">
      <c r="C542" s="8"/>
      <c r="H542" s="9" t="str">
        <f>IF(G542="","",VLOOKUP(G542,业务功能_系统接口!$B$6:$H$1416,2,FALSE))</f>
        <v/>
      </c>
      <c r="I542" s="9" t="str">
        <f>IF(G542="","",VLOOKUP(G542,业务功能_系统接口!$B$6:$H$1416,3,FALSE))</f>
        <v/>
      </c>
      <c r="J542" s="9" t="str">
        <f>IF(G542="","",VLOOKUP(G542,业务功能_系统接口!$B$6:$H$1416,4,FALSE))</f>
        <v/>
      </c>
    </row>
    <row r="543" spans="3:10">
      <c r="C543" s="8"/>
      <c r="H543" s="9" t="str">
        <f>IF(G543="","",VLOOKUP(G543,业务功能_系统接口!$B$6:$H$1416,2,FALSE))</f>
        <v/>
      </c>
      <c r="I543" s="9" t="str">
        <f>IF(G543="","",VLOOKUP(G543,业务功能_系统接口!$B$6:$H$1416,3,FALSE))</f>
        <v/>
      </c>
      <c r="J543" s="9" t="str">
        <f>IF(G543="","",VLOOKUP(G543,业务功能_系统接口!$B$6:$H$1416,4,FALSE))</f>
        <v/>
      </c>
    </row>
    <row r="544" spans="3:10">
      <c r="C544" s="8"/>
      <c r="H544" s="9" t="str">
        <f>IF(G544="","",VLOOKUP(G544,业务功能_系统接口!$B$6:$H$1416,2,FALSE))</f>
        <v/>
      </c>
      <c r="I544" s="9" t="str">
        <f>IF(G544="","",VLOOKUP(G544,业务功能_系统接口!$B$6:$H$1416,3,FALSE))</f>
        <v/>
      </c>
      <c r="J544" s="9" t="str">
        <f>IF(G544="","",VLOOKUP(G544,业务功能_系统接口!$B$6:$H$1416,4,FALSE))</f>
        <v/>
      </c>
    </row>
    <row r="545" spans="3:10">
      <c r="C545" s="8"/>
      <c r="H545" s="9" t="str">
        <f>IF(G545="","",VLOOKUP(G545,业务功能_系统接口!$B$6:$H$1416,2,FALSE))</f>
        <v/>
      </c>
      <c r="I545" s="9" t="str">
        <f>IF(G545="","",VLOOKUP(G545,业务功能_系统接口!$B$6:$H$1416,3,FALSE))</f>
        <v/>
      </c>
      <c r="J545" s="9" t="str">
        <f>IF(G545="","",VLOOKUP(G545,业务功能_系统接口!$B$6:$H$1416,4,FALSE))</f>
        <v/>
      </c>
    </row>
    <row r="546" spans="3:10">
      <c r="C546" s="8"/>
      <c r="H546" s="9" t="str">
        <f>IF(G546="","",VLOOKUP(G546,业务功能_系统接口!$B$6:$H$1416,2,FALSE))</f>
        <v/>
      </c>
      <c r="I546" s="9" t="str">
        <f>IF(G546="","",VLOOKUP(G546,业务功能_系统接口!$B$6:$H$1416,3,FALSE))</f>
        <v/>
      </c>
      <c r="J546" s="9" t="str">
        <f>IF(G546="","",VLOOKUP(G546,业务功能_系统接口!$B$6:$H$1416,4,FALSE))</f>
        <v/>
      </c>
    </row>
    <row r="547" spans="3:10">
      <c r="C547" s="8"/>
      <c r="H547" s="9" t="str">
        <f>IF(G547="","",VLOOKUP(G547,业务功能_系统接口!$B$6:$H$1416,2,FALSE))</f>
        <v/>
      </c>
      <c r="I547" s="9" t="str">
        <f>IF(G547="","",VLOOKUP(G547,业务功能_系统接口!$B$6:$H$1416,3,FALSE))</f>
        <v/>
      </c>
      <c r="J547" s="9" t="str">
        <f>IF(G547="","",VLOOKUP(G547,业务功能_系统接口!$B$6:$H$1416,4,FALSE))</f>
        <v/>
      </c>
    </row>
    <row r="548" spans="3:10">
      <c r="C548" s="8"/>
      <c r="H548" s="9" t="str">
        <f>IF(G548="","",VLOOKUP(G548,业务功能_系统接口!$B$6:$H$1416,2,FALSE))</f>
        <v/>
      </c>
      <c r="I548" s="9" t="str">
        <f>IF(G548="","",VLOOKUP(G548,业务功能_系统接口!$B$6:$H$1416,3,FALSE))</f>
        <v/>
      </c>
      <c r="J548" s="9" t="str">
        <f>IF(G548="","",VLOOKUP(G548,业务功能_系统接口!$B$6:$H$1416,4,FALSE))</f>
        <v/>
      </c>
    </row>
    <row r="549" spans="3:10">
      <c r="C549" s="8"/>
      <c r="H549" s="9" t="str">
        <f>IF(G549="","",VLOOKUP(G549,业务功能_系统接口!$B$6:$H$1416,2,FALSE))</f>
        <v/>
      </c>
      <c r="I549" s="9" t="str">
        <f>IF(G549="","",VLOOKUP(G549,业务功能_系统接口!$B$6:$H$1416,3,FALSE))</f>
        <v/>
      </c>
      <c r="J549" s="9" t="str">
        <f>IF(G549="","",VLOOKUP(G549,业务功能_系统接口!$B$6:$H$1416,4,FALSE))</f>
        <v/>
      </c>
    </row>
    <row r="550" spans="3:10">
      <c r="C550" s="8"/>
      <c r="H550" s="9" t="str">
        <f>IF(G550="","",VLOOKUP(G550,业务功能_系统接口!$B$6:$H$1416,2,FALSE))</f>
        <v/>
      </c>
      <c r="I550" s="9" t="str">
        <f>IF(G550="","",VLOOKUP(G550,业务功能_系统接口!$B$6:$H$1416,3,FALSE))</f>
        <v/>
      </c>
      <c r="J550" s="9" t="str">
        <f>IF(G550="","",VLOOKUP(G550,业务功能_系统接口!$B$6:$H$1416,4,FALSE))</f>
        <v/>
      </c>
    </row>
    <row r="551" spans="3:10">
      <c r="C551" s="8"/>
      <c r="H551" s="9" t="str">
        <f>IF(G551="","",VLOOKUP(G551,业务功能_系统接口!$B$6:$H$1416,2,FALSE))</f>
        <v/>
      </c>
      <c r="I551" s="9" t="str">
        <f>IF(G551="","",VLOOKUP(G551,业务功能_系统接口!$B$6:$H$1416,3,FALSE))</f>
        <v/>
      </c>
      <c r="J551" s="9" t="str">
        <f>IF(G551="","",VLOOKUP(G551,业务功能_系统接口!$B$6:$H$1416,4,FALSE))</f>
        <v/>
      </c>
    </row>
    <row r="552" spans="3:10">
      <c r="C552" s="8"/>
      <c r="H552" s="9" t="str">
        <f>IF(G552="","",VLOOKUP(G552,业务功能_系统接口!$B$6:$H$1416,2,FALSE))</f>
        <v/>
      </c>
      <c r="I552" s="9" t="str">
        <f>IF(G552="","",VLOOKUP(G552,业务功能_系统接口!$B$6:$H$1416,3,FALSE))</f>
        <v/>
      </c>
      <c r="J552" s="9" t="str">
        <f>IF(G552="","",VLOOKUP(G552,业务功能_系统接口!$B$6:$H$1416,4,FALSE))</f>
        <v/>
      </c>
    </row>
    <row r="553" spans="3:10">
      <c r="C553" s="8"/>
      <c r="H553" s="9" t="str">
        <f>IF(G553="","",VLOOKUP(G553,业务功能_系统接口!$B$6:$H$1416,2,FALSE))</f>
        <v/>
      </c>
      <c r="I553" s="9" t="str">
        <f>IF(G553="","",VLOOKUP(G553,业务功能_系统接口!$B$6:$H$1416,3,FALSE))</f>
        <v/>
      </c>
      <c r="J553" s="9" t="str">
        <f>IF(G553="","",VLOOKUP(G553,业务功能_系统接口!$B$6:$H$1416,4,FALSE))</f>
        <v/>
      </c>
    </row>
    <row r="554" spans="3:10">
      <c r="C554" s="8"/>
      <c r="H554" s="9" t="str">
        <f>IF(G554="","",VLOOKUP(G554,业务功能_系统接口!$B$6:$H$1416,2,FALSE))</f>
        <v/>
      </c>
      <c r="I554" s="9" t="str">
        <f>IF(G554="","",VLOOKUP(G554,业务功能_系统接口!$B$6:$H$1416,3,FALSE))</f>
        <v/>
      </c>
      <c r="J554" s="9" t="str">
        <f>IF(G554="","",VLOOKUP(G554,业务功能_系统接口!$B$6:$H$1416,4,FALSE))</f>
        <v/>
      </c>
    </row>
    <row r="555" spans="3:10">
      <c r="C555" s="8"/>
      <c r="H555" s="9" t="str">
        <f>IF(G555="","",VLOOKUP(G555,业务功能_系统接口!$B$6:$H$1416,2,FALSE))</f>
        <v/>
      </c>
      <c r="I555" s="9" t="str">
        <f>IF(G555="","",VLOOKUP(G555,业务功能_系统接口!$B$6:$H$1416,3,FALSE))</f>
        <v/>
      </c>
      <c r="J555" s="9" t="str">
        <f>IF(G555="","",VLOOKUP(G555,业务功能_系统接口!$B$6:$H$1416,4,FALSE))</f>
        <v/>
      </c>
    </row>
    <row r="556" spans="3:10">
      <c r="C556" s="8"/>
      <c r="H556" s="9" t="str">
        <f>IF(G556="","",VLOOKUP(G556,业务功能_系统接口!$B$6:$H$1416,2,FALSE))</f>
        <v/>
      </c>
      <c r="I556" s="9" t="str">
        <f>IF(G556="","",VLOOKUP(G556,业务功能_系统接口!$B$6:$H$1416,3,FALSE))</f>
        <v/>
      </c>
      <c r="J556" s="9" t="str">
        <f>IF(G556="","",VLOOKUP(G556,业务功能_系统接口!$B$6:$H$1416,4,FALSE))</f>
        <v/>
      </c>
    </row>
    <row r="557" spans="3:10">
      <c r="C557" s="8"/>
      <c r="H557" s="9" t="str">
        <f>IF(G557="","",VLOOKUP(G557,业务功能_系统接口!$B$6:$H$1416,2,FALSE))</f>
        <v/>
      </c>
      <c r="I557" s="9" t="str">
        <f>IF(G557="","",VLOOKUP(G557,业务功能_系统接口!$B$6:$H$1416,3,FALSE))</f>
        <v/>
      </c>
      <c r="J557" s="9" t="str">
        <f>IF(G557="","",VLOOKUP(G557,业务功能_系统接口!$B$6:$H$1416,4,FALSE))</f>
        <v/>
      </c>
    </row>
    <row r="558" spans="3:10">
      <c r="C558" s="8"/>
      <c r="H558" s="9" t="str">
        <f>IF(G558="","",VLOOKUP(G558,业务功能_系统接口!$B$6:$H$1416,2,FALSE))</f>
        <v/>
      </c>
      <c r="I558" s="9" t="str">
        <f>IF(G558="","",VLOOKUP(G558,业务功能_系统接口!$B$6:$H$1416,3,FALSE))</f>
        <v/>
      </c>
      <c r="J558" s="9" t="str">
        <f>IF(G558="","",VLOOKUP(G558,业务功能_系统接口!$B$6:$H$1416,4,FALSE))</f>
        <v/>
      </c>
    </row>
    <row r="559" spans="3:10">
      <c r="C559" s="8"/>
      <c r="H559" s="9" t="str">
        <f>IF(G559="","",VLOOKUP(G559,业务功能_系统接口!$B$6:$H$1416,2,FALSE))</f>
        <v/>
      </c>
      <c r="I559" s="9" t="str">
        <f>IF(G559="","",VLOOKUP(G559,业务功能_系统接口!$B$6:$H$1416,3,FALSE))</f>
        <v/>
      </c>
      <c r="J559" s="9" t="str">
        <f>IF(G559="","",VLOOKUP(G559,业务功能_系统接口!$B$6:$H$1416,4,FALSE))</f>
        <v/>
      </c>
    </row>
    <row r="560" spans="3:10">
      <c r="C560" s="8"/>
      <c r="H560" s="9" t="str">
        <f>IF(G560="","",VLOOKUP(G560,业务功能_系统接口!$B$6:$H$1416,2,FALSE))</f>
        <v/>
      </c>
      <c r="I560" s="9" t="str">
        <f>IF(G560="","",VLOOKUP(G560,业务功能_系统接口!$B$6:$H$1416,3,FALSE))</f>
        <v/>
      </c>
      <c r="J560" s="9" t="str">
        <f>IF(G560="","",VLOOKUP(G560,业务功能_系统接口!$B$6:$H$1416,4,FALSE))</f>
        <v/>
      </c>
    </row>
    <row r="561" spans="3:10">
      <c r="C561" s="8"/>
      <c r="H561" s="9" t="str">
        <f>IF(G561="","",VLOOKUP(G561,业务功能_系统接口!$B$6:$H$1416,2,FALSE))</f>
        <v/>
      </c>
      <c r="I561" s="9" t="str">
        <f>IF(G561="","",VLOOKUP(G561,业务功能_系统接口!$B$6:$H$1416,3,FALSE))</f>
        <v/>
      </c>
      <c r="J561" s="9" t="str">
        <f>IF(G561="","",VLOOKUP(G561,业务功能_系统接口!$B$6:$H$1416,4,FALSE))</f>
        <v/>
      </c>
    </row>
    <row r="562" spans="3:10">
      <c r="C562" s="8"/>
      <c r="H562" s="9" t="str">
        <f>IF(G562="","",VLOOKUP(G562,业务功能_系统接口!$B$6:$H$1416,2,FALSE))</f>
        <v/>
      </c>
      <c r="I562" s="9" t="str">
        <f>IF(G562="","",VLOOKUP(G562,业务功能_系统接口!$B$6:$H$1416,3,FALSE))</f>
        <v/>
      </c>
      <c r="J562" s="9" t="str">
        <f>IF(G562="","",VLOOKUP(G562,业务功能_系统接口!$B$6:$H$1416,4,FALSE))</f>
        <v/>
      </c>
    </row>
    <row r="563" spans="3:10">
      <c r="C563" s="8"/>
      <c r="H563" s="9" t="str">
        <f>IF(G563="","",VLOOKUP(G563,业务功能_系统接口!$B$6:$H$1416,2,FALSE))</f>
        <v/>
      </c>
      <c r="I563" s="9" t="str">
        <f>IF(G563="","",VLOOKUP(G563,业务功能_系统接口!$B$6:$H$1416,3,FALSE))</f>
        <v/>
      </c>
      <c r="J563" s="9" t="str">
        <f>IF(G563="","",VLOOKUP(G563,业务功能_系统接口!$B$6:$H$1416,4,FALSE))</f>
        <v/>
      </c>
    </row>
    <row r="564" spans="3:10">
      <c r="C564" s="8"/>
      <c r="H564" s="9" t="str">
        <f>IF(G564="","",VLOOKUP(G564,业务功能_系统接口!$B$6:$H$1416,2,FALSE))</f>
        <v/>
      </c>
      <c r="I564" s="9" t="str">
        <f>IF(G564="","",VLOOKUP(G564,业务功能_系统接口!$B$6:$H$1416,3,FALSE))</f>
        <v/>
      </c>
      <c r="J564" s="9" t="str">
        <f>IF(G564="","",VLOOKUP(G564,业务功能_系统接口!$B$6:$H$1416,4,FALSE))</f>
        <v/>
      </c>
    </row>
    <row r="565" spans="3:10">
      <c r="C565" s="8"/>
      <c r="H565" s="9" t="str">
        <f>IF(G565="","",VLOOKUP(G565,业务功能_系统接口!$B$6:$H$1416,2,FALSE))</f>
        <v/>
      </c>
      <c r="I565" s="9" t="str">
        <f>IF(G565="","",VLOOKUP(G565,业务功能_系统接口!$B$6:$H$1416,3,FALSE))</f>
        <v/>
      </c>
      <c r="J565" s="9" t="str">
        <f>IF(G565="","",VLOOKUP(G565,业务功能_系统接口!$B$6:$H$1416,4,FALSE))</f>
        <v/>
      </c>
    </row>
    <row r="566" spans="3:10">
      <c r="C566" s="8"/>
      <c r="H566" s="9" t="str">
        <f>IF(G566="","",VLOOKUP(G566,业务功能_系统接口!$B$6:$H$1416,2,FALSE))</f>
        <v/>
      </c>
      <c r="I566" s="9" t="str">
        <f>IF(G566="","",VLOOKUP(G566,业务功能_系统接口!$B$6:$H$1416,3,FALSE))</f>
        <v/>
      </c>
      <c r="J566" s="9" t="str">
        <f>IF(G566="","",VLOOKUP(G566,业务功能_系统接口!$B$6:$H$1416,4,FALSE))</f>
        <v/>
      </c>
    </row>
    <row r="567" spans="3:10">
      <c r="C567" s="8"/>
      <c r="H567" s="9" t="str">
        <f>IF(G567="","",VLOOKUP(G567,业务功能_系统接口!$B$6:$H$1416,2,FALSE))</f>
        <v/>
      </c>
      <c r="I567" s="9" t="str">
        <f>IF(G567="","",VLOOKUP(G567,业务功能_系统接口!$B$6:$H$1416,3,FALSE))</f>
        <v/>
      </c>
      <c r="J567" s="9" t="str">
        <f>IF(G567="","",VLOOKUP(G567,业务功能_系统接口!$B$6:$H$1416,4,FALSE))</f>
        <v/>
      </c>
    </row>
    <row r="568" spans="3:10">
      <c r="C568" s="8"/>
      <c r="H568" s="9" t="str">
        <f>IF(G568="","",VLOOKUP(G568,业务功能_系统接口!$B$6:$H$1416,2,FALSE))</f>
        <v/>
      </c>
      <c r="I568" s="9" t="str">
        <f>IF(G568="","",VLOOKUP(G568,业务功能_系统接口!$B$6:$H$1416,3,FALSE))</f>
        <v/>
      </c>
      <c r="J568" s="9" t="str">
        <f>IF(G568="","",VLOOKUP(G568,业务功能_系统接口!$B$6:$H$1416,4,FALSE))</f>
        <v/>
      </c>
    </row>
    <row r="569" spans="3:10">
      <c r="C569" s="8"/>
      <c r="H569" s="9" t="str">
        <f>IF(G569="","",VLOOKUP(G569,业务功能_系统接口!$B$6:$H$1416,2,FALSE))</f>
        <v/>
      </c>
      <c r="I569" s="9" t="str">
        <f>IF(G569="","",VLOOKUP(G569,业务功能_系统接口!$B$6:$H$1416,3,FALSE))</f>
        <v/>
      </c>
      <c r="J569" s="9" t="str">
        <f>IF(G569="","",VLOOKUP(G569,业务功能_系统接口!$B$6:$H$1416,4,FALSE))</f>
        <v/>
      </c>
    </row>
    <row r="570" spans="3:10">
      <c r="C570" s="8"/>
      <c r="H570" s="9" t="str">
        <f>IF(G570="","",VLOOKUP(G570,业务功能_系统接口!$B$6:$H$1416,2,FALSE))</f>
        <v/>
      </c>
      <c r="I570" s="9" t="str">
        <f>IF(G570="","",VLOOKUP(G570,业务功能_系统接口!$B$6:$H$1416,3,FALSE))</f>
        <v/>
      </c>
      <c r="J570" s="9" t="str">
        <f>IF(G570="","",VLOOKUP(G570,业务功能_系统接口!$B$6:$H$1416,4,FALSE))</f>
        <v/>
      </c>
    </row>
    <row r="571" spans="3:10">
      <c r="C571" s="8"/>
      <c r="H571" s="9" t="str">
        <f>IF(G571="","",VLOOKUP(G571,业务功能_系统接口!$B$6:$H$1416,2,FALSE))</f>
        <v/>
      </c>
      <c r="I571" s="9" t="str">
        <f>IF(G571="","",VLOOKUP(G571,业务功能_系统接口!$B$6:$H$1416,3,FALSE))</f>
        <v/>
      </c>
      <c r="J571" s="9" t="str">
        <f>IF(G571="","",VLOOKUP(G571,业务功能_系统接口!$B$6:$H$1416,4,FALSE))</f>
        <v/>
      </c>
    </row>
    <row r="572" spans="3:10">
      <c r="C572" s="8"/>
      <c r="H572" s="9" t="str">
        <f>IF(G572="","",VLOOKUP(G572,业务功能_系统接口!$B$6:$H$1416,2,FALSE))</f>
        <v/>
      </c>
      <c r="I572" s="9" t="str">
        <f>IF(G572="","",VLOOKUP(G572,业务功能_系统接口!$B$6:$H$1416,3,FALSE))</f>
        <v/>
      </c>
      <c r="J572" s="9" t="str">
        <f>IF(G572="","",VLOOKUP(G572,业务功能_系统接口!$B$6:$H$1416,4,FALSE))</f>
        <v/>
      </c>
    </row>
    <row r="573" spans="3:10">
      <c r="C573" s="8"/>
      <c r="H573" s="9" t="str">
        <f>IF(G573="","",VLOOKUP(G573,业务功能_系统接口!$B$6:$H$1416,2,FALSE))</f>
        <v/>
      </c>
      <c r="I573" s="9" t="str">
        <f>IF(G573="","",VLOOKUP(G573,业务功能_系统接口!$B$6:$H$1416,3,FALSE))</f>
        <v/>
      </c>
      <c r="J573" s="9" t="str">
        <f>IF(G573="","",VLOOKUP(G573,业务功能_系统接口!$B$6:$H$1416,4,FALSE))</f>
        <v/>
      </c>
    </row>
    <row r="574" spans="3:10">
      <c r="C574" s="8"/>
      <c r="H574" s="9" t="str">
        <f>IF(G574="","",VLOOKUP(G574,业务功能_系统接口!$B$6:$H$1416,2,FALSE))</f>
        <v/>
      </c>
      <c r="I574" s="9" t="str">
        <f>IF(G574="","",VLOOKUP(G574,业务功能_系统接口!$B$6:$H$1416,3,FALSE))</f>
        <v/>
      </c>
      <c r="J574" s="9" t="str">
        <f>IF(G574="","",VLOOKUP(G574,业务功能_系统接口!$B$6:$H$1416,4,FALSE))</f>
        <v/>
      </c>
    </row>
    <row r="575" spans="3:10">
      <c r="C575" s="8"/>
      <c r="H575" s="9" t="str">
        <f>IF(G575="","",VLOOKUP(G575,业务功能_系统接口!$B$6:$H$1416,2,FALSE))</f>
        <v/>
      </c>
      <c r="I575" s="9" t="str">
        <f>IF(G575="","",VLOOKUP(G575,业务功能_系统接口!$B$6:$H$1416,3,FALSE))</f>
        <v/>
      </c>
      <c r="J575" s="9" t="str">
        <f>IF(G575="","",VLOOKUP(G575,业务功能_系统接口!$B$6:$H$1416,4,FALSE))</f>
        <v/>
      </c>
    </row>
    <row r="576" spans="3:10">
      <c r="C576" s="8"/>
      <c r="H576" s="9" t="str">
        <f>IF(G576="","",VLOOKUP(G576,业务功能_系统接口!$B$6:$H$1416,2,FALSE))</f>
        <v/>
      </c>
      <c r="I576" s="9" t="str">
        <f>IF(G576="","",VLOOKUP(G576,业务功能_系统接口!$B$6:$H$1416,3,FALSE))</f>
        <v/>
      </c>
      <c r="J576" s="9" t="str">
        <f>IF(G576="","",VLOOKUP(G576,业务功能_系统接口!$B$6:$H$1416,4,FALSE))</f>
        <v/>
      </c>
    </row>
    <row r="577" spans="3:10">
      <c r="C577" s="8"/>
      <c r="H577" s="9" t="str">
        <f>IF(G577="","",VLOOKUP(G577,业务功能_系统接口!$B$6:$H$1416,2,FALSE))</f>
        <v/>
      </c>
      <c r="I577" s="9" t="str">
        <f>IF(G577="","",VLOOKUP(G577,业务功能_系统接口!$B$6:$H$1416,3,FALSE))</f>
        <v/>
      </c>
      <c r="J577" s="9" t="str">
        <f>IF(G577="","",VLOOKUP(G577,业务功能_系统接口!$B$6:$H$1416,4,FALSE))</f>
        <v/>
      </c>
    </row>
    <row r="578" spans="3:10">
      <c r="C578" s="8"/>
      <c r="H578" s="9" t="str">
        <f>IF(G578="","",VLOOKUP(G578,业务功能_系统接口!$B$6:$H$1416,2,FALSE))</f>
        <v/>
      </c>
      <c r="I578" s="9" t="str">
        <f>IF(G578="","",VLOOKUP(G578,业务功能_系统接口!$B$6:$H$1416,3,FALSE))</f>
        <v/>
      </c>
      <c r="J578" s="9" t="str">
        <f>IF(G578="","",VLOOKUP(G578,业务功能_系统接口!$B$6:$H$1416,4,FALSE))</f>
        <v/>
      </c>
    </row>
    <row r="579" spans="3:10">
      <c r="C579" s="8"/>
      <c r="H579" s="9" t="str">
        <f>IF(G579="","",VLOOKUP(G579,业务功能_系统接口!$B$6:$H$1416,2,FALSE))</f>
        <v/>
      </c>
      <c r="I579" s="9" t="str">
        <f>IF(G579="","",VLOOKUP(G579,业务功能_系统接口!$B$6:$H$1416,3,FALSE))</f>
        <v/>
      </c>
      <c r="J579" s="9" t="str">
        <f>IF(G579="","",VLOOKUP(G579,业务功能_系统接口!$B$6:$H$1416,4,FALSE))</f>
        <v/>
      </c>
    </row>
    <row r="580" spans="3:10">
      <c r="C580" s="8"/>
      <c r="H580" s="9" t="str">
        <f>IF(G580="","",VLOOKUP(G580,业务功能_系统接口!$B$6:$H$1416,2,FALSE))</f>
        <v/>
      </c>
      <c r="I580" s="9" t="str">
        <f>IF(G580="","",VLOOKUP(G580,业务功能_系统接口!$B$6:$H$1416,3,FALSE))</f>
        <v/>
      </c>
      <c r="J580" s="9" t="str">
        <f>IF(G580="","",VLOOKUP(G580,业务功能_系统接口!$B$6:$H$1416,4,FALSE))</f>
        <v/>
      </c>
    </row>
    <row r="581" spans="3:10">
      <c r="C581" s="8"/>
      <c r="H581" s="9" t="str">
        <f>IF(G581="","",VLOOKUP(G581,业务功能_系统接口!$B$6:$H$1416,2,FALSE))</f>
        <v/>
      </c>
      <c r="I581" s="9" t="str">
        <f>IF(G581="","",VLOOKUP(G581,业务功能_系统接口!$B$6:$H$1416,3,FALSE))</f>
        <v/>
      </c>
      <c r="J581" s="9" t="str">
        <f>IF(G581="","",VLOOKUP(G581,业务功能_系统接口!$B$6:$H$1416,4,FALSE))</f>
        <v/>
      </c>
    </row>
    <row r="582" spans="3:10">
      <c r="C582" s="8"/>
      <c r="H582" s="9" t="str">
        <f>IF(G582="","",VLOOKUP(G582,业务功能_系统接口!$B$6:$H$1416,2,FALSE))</f>
        <v/>
      </c>
      <c r="I582" s="9" t="str">
        <f>IF(G582="","",VLOOKUP(G582,业务功能_系统接口!$B$6:$H$1416,3,FALSE))</f>
        <v/>
      </c>
      <c r="J582" s="9" t="str">
        <f>IF(G582="","",VLOOKUP(G582,业务功能_系统接口!$B$6:$H$1416,4,FALSE))</f>
        <v/>
      </c>
    </row>
    <row r="583" spans="3:10">
      <c r="C583" s="8"/>
      <c r="H583" s="9" t="str">
        <f>IF(G583="","",VLOOKUP(G583,业务功能_系统接口!$B$6:$H$1416,2,FALSE))</f>
        <v/>
      </c>
      <c r="I583" s="9" t="str">
        <f>IF(G583="","",VLOOKUP(G583,业务功能_系统接口!$B$6:$H$1416,3,FALSE))</f>
        <v/>
      </c>
      <c r="J583" s="9" t="str">
        <f>IF(G583="","",VLOOKUP(G583,业务功能_系统接口!$B$6:$H$1416,4,FALSE))</f>
        <v/>
      </c>
    </row>
    <row r="584" spans="3:10">
      <c r="C584" s="8"/>
      <c r="H584" s="9" t="str">
        <f>IF(G584="","",VLOOKUP(G584,业务功能_系统接口!$B$6:$H$1416,2,FALSE))</f>
        <v/>
      </c>
      <c r="I584" s="9" t="str">
        <f>IF(G584="","",VLOOKUP(G584,业务功能_系统接口!$B$6:$H$1416,3,FALSE))</f>
        <v/>
      </c>
      <c r="J584" s="9" t="str">
        <f>IF(G584="","",VLOOKUP(G584,业务功能_系统接口!$B$6:$H$1416,4,FALSE))</f>
        <v/>
      </c>
    </row>
    <row r="585" spans="3:10">
      <c r="C585" s="8"/>
      <c r="H585" s="9" t="str">
        <f>IF(G585="","",VLOOKUP(G585,业务功能_系统接口!$B$6:$H$1416,2,FALSE))</f>
        <v/>
      </c>
      <c r="I585" s="9" t="str">
        <f>IF(G585="","",VLOOKUP(G585,业务功能_系统接口!$B$6:$H$1416,3,FALSE))</f>
        <v/>
      </c>
      <c r="J585" s="9" t="str">
        <f>IF(G585="","",VLOOKUP(G585,业务功能_系统接口!$B$6:$H$1416,4,FALSE))</f>
        <v/>
      </c>
    </row>
    <row r="586" spans="3:10">
      <c r="C586" s="8"/>
      <c r="H586" s="9" t="str">
        <f>IF(G586="","",VLOOKUP(G586,业务功能_系统接口!$B$6:$H$1416,2,FALSE))</f>
        <v/>
      </c>
      <c r="I586" s="9" t="str">
        <f>IF(G586="","",VLOOKUP(G586,业务功能_系统接口!$B$6:$H$1416,3,FALSE))</f>
        <v/>
      </c>
      <c r="J586" s="9" t="str">
        <f>IF(G586="","",VLOOKUP(G586,业务功能_系统接口!$B$6:$H$1416,4,FALSE))</f>
        <v/>
      </c>
    </row>
    <row r="587" spans="3:10">
      <c r="C587" s="8"/>
      <c r="H587" s="9" t="str">
        <f>IF(G587="","",VLOOKUP(G587,业务功能_系统接口!$B$6:$H$1416,2,FALSE))</f>
        <v/>
      </c>
      <c r="I587" s="9" t="str">
        <f>IF(G587="","",VLOOKUP(G587,业务功能_系统接口!$B$6:$H$1416,3,FALSE))</f>
        <v/>
      </c>
      <c r="J587" s="9" t="str">
        <f>IF(G587="","",VLOOKUP(G587,业务功能_系统接口!$B$6:$H$1416,4,FALSE))</f>
        <v/>
      </c>
    </row>
    <row r="588" spans="3:10">
      <c r="C588" s="8"/>
      <c r="H588" s="9" t="str">
        <f>IF(G588="","",VLOOKUP(G588,业务功能_系统接口!$B$6:$H$1416,2,FALSE))</f>
        <v/>
      </c>
      <c r="I588" s="9" t="str">
        <f>IF(G588="","",VLOOKUP(G588,业务功能_系统接口!$B$6:$H$1416,3,FALSE))</f>
        <v/>
      </c>
      <c r="J588" s="9" t="str">
        <f>IF(G588="","",VLOOKUP(G588,业务功能_系统接口!$B$6:$H$1416,4,FALSE))</f>
        <v/>
      </c>
    </row>
    <row r="589" spans="3:10">
      <c r="C589" s="8"/>
      <c r="H589" s="9" t="str">
        <f>IF(G589="","",VLOOKUP(G589,业务功能_系统接口!$B$6:$H$1416,2,FALSE))</f>
        <v/>
      </c>
      <c r="I589" s="9" t="str">
        <f>IF(G589="","",VLOOKUP(G589,业务功能_系统接口!$B$6:$H$1416,3,FALSE))</f>
        <v/>
      </c>
      <c r="J589" s="9" t="str">
        <f>IF(G589="","",VLOOKUP(G589,业务功能_系统接口!$B$6:$H$1416,4,FALSE))</f>
        <v/>
      </c>
    </row>
    <row r="590" spans="3:10">
      <c r="C590" s="8"/>
      <c r="H590" s="9" t="str">
        <f>IF(G590="","",VLOOKUP(G590,业务功能_系统接口!$B$6:$H$1416,2,FALSE))</f>
        <v/>
      </c>
      <c r="I590" s="9" t="str">
        <f>IF(G590="","",VLOOKUP(G590,业务功能_系统接口!$B$6:$H$1416,3,FALSE))</f>
        <v/>
      </c>
      <c r="J590" s="9" t="str">
        <f>IF(G590="","",VLOOKUP(G590,业务功能_系统接口!$B$6:$H$1416,4,FALSE))</f>
        <v/>
      </c>
    </row>
    <row r="591" spans="3:10">
      <c r="C591" s="8"/>
      <c r="H591" s="9" t="str">
        <f>IF(G591="","",VLOOKUP(G591,业务功能_系统接口!$B$6:$H$1416,2,FALSE))</f>
        <v/>
      </c>
      <c r="I591" s="9" t="str">
        <f>IF(G591="","",VLOOKUP(G591,业务功能_系统接口!$B$6:$H$1416,3,FALSE))</f>
        <v/>
      </c>
      <c r="J591" s="9" t="str">
        <f>IF(G591="","",VLOOKUP(G591,业务功能_系统接口!$B$6:$H$1416,4,FALSE))</f>
        <v/>
      </c>
    </row>
    <row r="592" spans="3:10">
      <c r="C592" s="8"/>
      <c r="H592" s="9" t="str">
        <f>IF(G592="","",VLOOKUP(G592,业务功能_系统接口!$B$6:$H$1416,2,FALSE))</f>
        <v/>
      </c>
      <c r="I592" s="9" t="str">
        <f>IF(G592="","",VLOOKUP(G592,业务功能_系统接口!$B$6:$H$1416,3,FALSE))</f>
        <v/>
      </c>
      <c r="J592" s="9" t="str">
        <f>IF(G592="","",VLOOKUP(G592,业务功能_系统接口!$B$6:$H$1416,4,FALSE))</f>
        <v/>
      </c>
    </row>
    <row r="593" spans="3:10">
      <c r="C593" s="8"/>
      <c r="H593" s="9" t="str">
        <f>IF(G593="","",VLOOKUP(G593,业务功能_系统接口!$B$6:$H$1416,2,FALSE))</f>
        <v/>
      </c>
      <c r="I593" s="9" t="str">
        <f>IF(G593="","",VLOOKUP(G593,业务功能_系统接口!$B$6:$H$1416,3,FALSE))</f>
        <v/>
      </c>
      <c r="J593" s="9" t="str">
        <f>IF(G593="","",VLOOKUP(G593,业务功能_系统接口!$B$6:$H$1416,4,FALSE))</f>
        <v/>
      </c>
    </row>
    <row r="594" spans="3:10">
      <c r="C594" s="8"/>
      <c r="H594" s="9" t="str">
        <f>IF(G594="","",VLOOKUP(G594,业务功能_系统接口!$B$6:$H$1416,2,FALSE))</f>
        <v/>
      </c>
      <c r="I594" s="9" t="str">
        <f>IF(G594="","",VLOOKUP(G594,业务功能_系统接口!$B$6:$H$1416,3,FALSE))</f>
        <v/>
      </c>
      <c r="J594" s="9" t="str">
        <f>IF(G594="","",VLOOKUP(G594,业务功能_系统接口!$B$6:$H$1416,4,FALSE))</f>
        <v/>
      </c>
    </row>
    <row r="595" spans="3:10">
      <c r="C595" s="8"/>
      <c r="H595" s="9" t="str">
        <f>IF(G595="","",VLOOKUP(G595,业务功能_系统接口!$B$6:$H$1416,2,FALSE))</f>
        <v/>
      </c>
      <c r="I595" s="9" t="str">
        <f>IF(G595="","",VLOOKUP(G595,业务功能_系统接口!$B$6:$H$1416,3,FALSE))</f>
        <v/>
      </c>
      <c r="J595" s="9" t="str">
        <f>IF(G595="","",VLOOKUP(G595,业务功能_系统接口!$B$6:$H$1416,4,FALSE))</f>
        <v/>
      </c>
    </row>
    <row r="596" spans="3:10">
      <c r="C596" s="8"/>
      <c r="H596" s="9" t="str">
        <f>IF(G596="","",VLOOKUP(G596,业务功能_系统接口!$B$6:$H$1416,2,FALSE))</f>
        <v/>
      </c>
      <c r="I596" s="9" t="str">
        <f>IF(G596="","",VLOOKUP(G596,业务功能_系统接口!$B$6:$H$1416,3,FALSE))</f>
        <v/>
      </c>
      <c r="J596" s="9" t="str">
        <f>IF(G596="","",VLOOKUP(G596,业务功能_系统接口!$B$6:$H$1416,4,FALSE))</f>
        <v/>
      </c>
    </row>
    <row r="597" spans="3:10">
      <c r="C597" s="8"/>
      <c r="H597" s="9" t="str">
        <f>IF(G597="","",VLOOKUP(G597,业务功能_系统接口!$B$6:$H$1416,2,FALSE))</f>
        <v/>
      </c>
      <c r="I597" s="9" t="str">
        <f>IF(G597="","",VLOOKUP(G597,业务功能_系统接口!$B$6:$H$1416,3,FALSE))</f>
        <v/>
      </c>
      <c r="J597" s="9" t="str">
        <f>IF(G597="","",VLOOKUP(G597,业务功能_系统接口!$B$6:$H$1416,4,FALSE))</f>
        <v/>
      </c>
    </row>
    <row r="598" spans="3:10">
      <c r="C598" s="8"/>
      <c r="H598" s="9" t="str">
        <f>IF(G598="","",VLOOKUP(G598,业务功能_系统接口!$B$6:$H$1416,2,FALSE))</f>
        <v/>
      </c>
      <c r="I598" s="9" t="str">
        <f>IF(G598="","",VLOOKUP(G598,业务功能_系统接口!$B$6:$H$1416,3,FALSE))</f>
        <v/>
      </c>
      <c r="J598" s="9" t="str">
        <f>IF(G598="","",VLOOKUP(G598,业务功能_系统接口!$B$6:$H$1416,4,FALSE))</f>
        <v/>
      </c>
    </row>
    <row r="599" spans="3:10">
      <c r="C599" s="8"/>
      <c r="H599" s="9" t="str">
        <f>IF(G599="","",VLOOKUP(G599,业务功能_系统接口!$B$6:$H$1416,2,FALSE))</f>
        <v/>
      </c>
      <c r="I599" s="9" t="str">
        <f>IF(G599="","",VLOOKUP(G599,业务功能_系统接口!$B$6:$H$1416,3,FALSE))</f>
        <v/>
      </c>
      <c r="J599" s="9" t="str">
        <f>IF(G599="","",VLOOKUP(G599,业务功能_系统接口!$B$6:$H$1416,4,FALSE))</f>
        <v/>
      </c>
    </row>
    <row r="600" spans="3:10">
      <c r="C600" s="8"/>
      <c r="H600" s="9" t="str">
        <f>IF(G600="","",VLOOKUP(G600,业务功能_系统接口!$B$6:$H$1416,2,FALSE))</f>
        <v/>
      </c>
      <c r="I600" s="9" t="str">
        <f>IF(G600="","",VLOOKUP(G600,业务功能_系统接口!$B$6:$H$1416,3,FALSE))</f>
        <v/>
      </c>
      <c r="J600" s="9" t="str">
        <f>IF(G600="","",VLOOKUP(G600,业务功能_系统接口!$B$6:$H$1416,4,FALSE))</f>
        <v/>
      </c>
    </row>
    <row r="601" spans="3:10">
      <c r="C601" s="8"/>
      <c r="H601" s="9" t="str">
        <f>IF(G601="","",VLOOKUP(G601,业务功能_系统接口!$B$6:$H$1416,2,FALSE))</f>
        <v/>
      </c>
      <c r="I601" s="9" t="str">
        <f>IF(G601="","",VLOOKUP(G601,业务功能_系统接口!$B$6:$H$1416,3,FALSE))</f>
        <v/>
      </c>
      <c r="J601" s="9" t="str">
        <f>IF(G601="","",VLOOKUP(G601,业务功能_系统接口!$B$6:$H$1416,4,FALSE))</f>
        <v/>
      </c>
    </row>
    <row r="602" spans="3:10">
      <c r="C602" s="8"/>
      <c r="H602" s="9" t="str">
        <f>IF(G602="","",VLOOKUP(G602,业务功能_系统接口!$B$6:$H$1416,2,FALSE))</f>
        <v/>
      </c>
      <c r="I602" s="9" t="str">
        <f>IF(G602="","",VLOOKUP(G602,业务功能_系统接口!$B$6:$H$1416,3,FALSE))</f>
        <v/>
      </c>
      <c r="J602" s="9" t="str">
        <f>IF(G602="","",VLOOKUP(G602,业务功能_系统接口!$B$6:$H$1416,4,FALSE))</f>
        <v/>
      </c>
    </row>
    <row r="603" spans="3:10">
      <c r="C603" s="8"/>
      <c r="H603" s="9" t="str">
        <f>IF(G603="","",VLOOKUP(G603,业务功能_系统接口!$B$6:$H$1416,2,FALSE))</f>
        <v/>
      </c>
      <c r="I603" s="9" t="str">
        <f>IF(G603="","",VLOOKUP(G603,业务功能_系统接口!$B$6:$H$1416,3,FALSE))</f>
        <v/>
      </c>
      <c r="J603" s="9" t="str">
        <f>IF(G603="","",VLOOKUP(G603,业务功能_系统接口!$B$6:$H$1416,4,FALSE))</f>
        <v/>
      </c>
    </row>
    <row r="604" spans="3:10">
      <c r="C604" s="8"/>
      <c r="H604" s="9" t="str">
        <f>IF(G604="","",VLOOKUP(G604,业务功能_系统接口!$B$6:$H$1416,2,FALSE))</f>
        <v/>
      </c>
      <c r="I604" s="9" t="str">
        <f>IF(G604="","",VLOOKUP(G604,业务功能_系统接口!$B$6:$H$1416,3,FALSE))</f>
        <v/>
      </c>
      <c r="J604" s="9" t="str">
        <f>IF(G604="","",VLOOKUP(G604,业务功能_系统接口!$B$6:$H$1416,4,FALSE))</f>
        <v/>
      </c>
    </row>
    <row r="605" spans="3:10">
      <c r="C605" s="8"/>
      <c r="H605" s="9" t="str">
        <f>IF(G605="","",VLOOKUP(G605,业务功能_系统接口!$B$6:$H$1416,2,FALSE))</f>
        <v/>
      </c>
      <c r="I605" s="9" t="str">
        <f>IF(G605="","",VLOOKUP(G605,业务功能_系统接口!$B$6:$H$1416,3,FALSE))</f>
        <v/>
      </c>
      <c r="J605" s="9" t="str">
        <f>IF(G605="","",VLOOKUP(G605,业务功能_系统接口!$B$6:$H$1416,4,FALSE))</f>
        <v/>
      </c>
    </row>
    <row r="606" spans="3:10">
      <c r="C606" s="8"/>
      <c r="H606" s="9" t="str">
        <f>IF(G606="","",VLOOKUP(G606,业务功能_系统接口!$B$6:$H$1416,2,FALSE))</f>
        <v/>
      </c>
      <c r="I606" s="9" t="str">
        <f>IF(G606="","",VLOOKUP(G606,业务功能_系统接口!$B$6:$H$1416,3,FALSE))</f>
        <v/>
      </c>
      <c r="J606" s="9" t="str">
        <f>IF(G606="","",VLOOKUP(G606,业务功能_系统接口!$B$6:$H$1416,4,FALSE))</f>
        <v/>
      </c>
    </row>
    <row r="607" spans="3:10">
      <c r="C607" s="8"/>
      <c r="H607" s="9" t="str">
        <f>IF(G607="","",VLOOKUP(G607,业务功能_系统接口!$B$6:$H$1416,2,FALSE))</f>
        <v/>
      </c>
      <c r="I607" s="9" t="str">
        <f>IF(G607="","",VLOOKUP(G607,业务功能_系统接口!$B$6:$H$1416,3,FALSE))</f>
        <v/>
      </c>
      <c r="J607" s="9" t="str">
        <f>IF(G607="","",VLOOKUP(G607,业务功能_系统接口!$B$6:$H$1416,4,FALSE))</f>
        <v/>
      </c>
    </row>
    <row r="608" spans="3:10">
      <c r="C608" s="8"/>
      <c r="H608" s="9" t="str">
        <f>IF(G608="","",VLOOKUP(G608,业务功能_系统接口!$B$6:$H$1416,2,FALSE))</f>
        <v/>
      </c>
      <c r="I608" s="9" t="str">
        <f>IF(G608="","",VLOOKUP(G608,业务功能_系统接口!$B$6:$H$1416,3,FALSE))</f>
        <v/>
      </c>
      <c r="J608" s="9" t="str">
        <f>IF(G608="","",VLOOKUP(G608,业务功能_系统接口!$B$6:$H$1416,4,FALSE))</f>
        <v/>
      </c>
    </row>
    <row r="609" spans="3:10">
      <c r="C609" s="8"/>
      <c r="H609" s="9" t="str">
        <f>IF(G609="","",VLOOKUP(G609,业务功能_系统接口!$B$6:$H$1416,2,FALSE))</f>
        <v/>
      </c>
      <c r="I609" s="9" t="str">
        <f>IF(G609="","",VLOOKUP(G609,业务功能_系统接口!$B$6:$H$1416,3,FALSE))</f>
        <v/>
      </c>
      <c r="J609" s="9" t="str">
        <f>IF(G609="","",VLOOKUP(G609,业务功能_系统接口!$B$6:$H$1416,4,FALSE))</f>
        <v/>
      </c>
    </row>
    <row r="610" spans="3:10">
      <c r="C610" s="8"/>
      <c r="H610" s="9" t="str">
        <f>IF(G610="","",VLOOKUP(G610,业务功能_系统接口!$B$6:$H$1416,2,FALSE))</f>
        <v/>
      </c>
      <c r="I610" s="9" t="str">
        <f>IF(G610="","",VLOOKUP(G610,业务功能_系统接口!$B$6:$H$1416,3,FALSE))</f>
        <v/>
      </c>
      <c r="J610" s="9" t="str">
        <f>IF(G610="","",VLOOKUP(G610,业务功能_系统接口!$B$6:$H$1416,4,FALSE))</f>
        <v/>
      </c>
    </row>
    <row r="611" spans="3:10">
      <c r="C611" s="8"/>
      <c r="H611" s="9" t="str">
        <f>IF(G611="","",VLOOKUP(G611,业务功能_系统接口!$B$6:$H$1416,2,FALSE))</f>
        <v/>
      </c>
      <c r="I611" s="9" t="str">
        <f>IF(G611="","",VLOOKUP(G611,业务功能_系统接口!$B$6:$H$1416,3,FALSE))</f>
        <v/>
      </c>
      <c r="J611" s="9" t="str">
        <f>IF(G611="","",VLOOKUP(G611,业务功能_系统接口!$B$6:$H$1416,4,FALSE))</f>
        <v/>
      </c>
    </row>
    <row r="612" spans="3:10">
      <c r="C612" s="8"/>
      <c r="H612" s="9" t="str">
        <f>IF(G612="","",VLOOKUP(G612,业务功能_系统接口!$B$6:$H$1416,2,FALSE))</f>
        <v/>
      </c>
      <c r="I612" s="9" t="str">
        <f>IF(G612="","",VLOOKUP(G612,业务功能_系统接口!$B$6:$H$1416,3,FALSE))</f>
        <v/>
      </c>
      <c r="J612" s="9" t="str">
        <f>IF(G612="","",VLOOKUP(G612,业务功能_系统接口!$B$6:$H$1416,4,FALSE))</f>
        <v/>
      </c>
    </row>
    <row r="613" spans="3:10">
      <c r="C613" s="8"/>
      <c r="H613" s="9" t="str">
        <f>IF(G613="","",VLOOKUP(G613,业务功能_系统接口!$B$6:$H$1416,2,FALSE))</f>
        <v/>
      </c>
      <c r="I613" s="9" t="str">
        <f>IF(G613="","",VLOOKUP(G613,业务功能_系统接口!$B$6:$H$1416,3,FALSE))</f>
        <v/>
      </c>
      <c r="J613" s="9" t="str">
        <f>IF(G613="","",VLOOKUP(G613,业务功能_系统接口!$B$6:$H$1416,4,FALSE))</f>
        <v/>
      </c>
    </row>
    <row r="614" spans="3:10">
      <c r="C614" s="8"/>
      <c r="H614" s="9" t="str">
        <f>IF(G614="","",VLOOKUP(G614,业务功能_系统接口!$B$6:$H$1416,2,FALSE))</f>
        <v/>
      </c>
      <c r="I614" s="9" t="str">
        <f>IF(G614="","",VLOOKUP(G614,业务功能_系统接口!$B$6:$H$1416,3,FALSE))</f>
        <v/>
      </c>
      <c r="J614" s="9" t="str">
        <f>IF(G614="","",VLOOKUP(G614,业务功能_系统接口!$B$6:$H$1416,4,FALSE))</f>
        <v/>
      </c>
    </row>
    <row r="615" spans="3:10">
      <c r="C615" s="8"/>
      <c r="H615" s="9" t="str">
        <f>IF(G615="","",VLOOKUP(G615,业务功能_系统接口!$B$6:$H$1416,2,FALSE))</f>
        <v/>
      </c>
      <c r="I615" s="9" t="str">
        <f>IF(G615="","",VLOOKUP(G615,业务功能_系统接口!$B$6:$H$1416,3,FALSE))</f>
        <v/>
      </c>
      <c r="J615" s="9" t="str">
        <f>IF(G615="","",VLOOKUP(G615,业务功能_系统接口!$B$6:$H$1416,4,FALSE))</f>
        <v/>
      </c>
    </row>
    <row r="616" spans="3:10">
      <c r="C616" s="8"/>
      <c r="H616" s="2" t="str">
        <f>IF(G616="","",VLOOKUP(G616,业务功能_系统接口!B209:$H$1416,2,FALSE))</f>
        <v/>
      </c>
      <c r="I616" s="2" t="str">
        <f>IF(G616="","",VLOOKUP(G616,业务功能_系统接口!B209:$H$1416,3,FALSE))</f>
        <v/>
      </c>
      <c r="J616" s="2" t="str">
        <f>IF(G616="","",VLOOKUP(G616,业务功能_系统接口!B209:$H$1416,4,FALSE))</f>
        <v/>
      </c>
    </row>
    <row r="617" spans="3:10">
      <c r="C617" s="8"/>
      <c r="H617" s="2" t="str">
        <f>IF(G617="","",VLOOKUP(G617,业务功能_系统接口!B210:$H$1416,2,FALSE))</f>
        <v/>
      </c>
      <c r="I617" s="2" t="str">
        <f>IF(G617="","",VLOOKUP(G617,业务功能_系统接口!B210:$H$1416,3,FALSE))</f>
        <v/>
      </c>
      <c r="J617" s="2" t="str">
        <f>IF(G617="","",VLOOKUP(G617,业务功能_系统接口!B210:$H$1416,4,FALSE))</f>
        <v/>
      </c>
    </row>
    <row r="618" spans="3:10">
      <c r="C618" s="8"/>
      <c r="H618" s="2" t="str">
        <f>IF(G618="","",VLOOKUP(G618,业务功能_系统接口!B211:$H$1416,2,FALSE))</f>
        <v/>
      </c>
      <c r="I618" s="2" t="str">
        <f>IF(G618="","",VLOOKUP(G618,业务功能_系统接口!B211:$H$1416,3,FALSE))</f>
        <v/>
      </c>
      <c r="J618" s="2" t="str">
        <f>IF(G618="","",VLOOKUP(G618,业务功能_系统接口!B211:$H$1416,4,FALSE))</f>
        <v/>
      </c>
    </row>
    <row r="619" spans="3:10">
      <c r="C619" s="8"/>
      <c r="H619" s="2" t="str">
        <f>IF(G619="","",VLOOKUP(G619,业务功能_系统接口!B212:$H$1416,2,FALSE))</f>
        <v/>
      </c>
      <c r="I619" s="2" t="str">
        <f>IF(G619="","",VLOOKUP(G619,业务功能_系统接口!B212:$H$1416,3,FALSE))</f>
        <v/>
      </c>
      <c r="J619" s="2" t="str">
        <f>IF(G619="","",VLOOKUP(G619,业务功能_系统接口!B212:$H$1416,4,FALSE))</f>
        <v/>
      </c>
    </row>
    <row r="620" spans="3:10">
      <c r="C620" s="8"/>
      <c r="H620" s="2" t="str">
        <f>IF(G620="","",VLOOKUP(G620,业务功能_系统接口!B213:$H$1416,2,FALSE))</f>
        <v/>
      </c>
      <c r="I620" s="2" t="str">
        <f>IF(G620="","",VLOOKUP(G620,业务功能_系统接口!B213:$H$1416,3,FALSE))</f>
        <v/>
      </c>
      <c r="J620" s="2" t="str">
        <f>IF(G620="","",VLOOKUP(G620,业务功能_系统接口!B213:$H$1416,4,FALSE))</f>
        <v/>
      </c>
    </row>
    <row r="621" spans="3:10">
      <c r="C621" s="8"/>
      <c r="H621" s="2" t="str">
        <f>IF(G621="","",VLOOKUP(G621,业务功能_系统接口!B214:$H$1416,2,FALSE))</f>
        <v/>
      </c>
      <c r="I621" s="2" t="str">
        <f>IF(G621="","",VLOOKUP(G621,业务功能_系统接口!B214:$H$1416,3,FALSE))</f>
        <v/>
      </c>
      <c r="J621" s="2" t="str">
        <f>IF(G621="","",VLOOKUP(G621,业务功能_系统接口!B214:$H$1416,4,FALSE))</f>
        <v/>
      </c>
    </row>
    <row r="622" spans="3:10">
      <c r="C622" s="8"/>
      <c r="H622" s="2" t="str">
        <f>IF(G622="","",VLOOKUP(G622,业务功能_系统接口!B215:$H$1416,2,FALSE))</f>
        <v/>
      </c>
      <c r="I622" s="2" t="str">
        <f>IF(G622="","",VLOOKUP(G622,业务功能_系统接口!B215:$H$1416,3,FALSE))</f>
        <v/>
      </c>
      <c r="J622" s="2" t="str">
        <f>IF(G622="","",VLOOKUP(G622,业务功能_系统接口!B215:$H$1416,4,FALSE))</f>
        <v/>
      </c>
    </row>
    <row r="623" spans="3:10">
      <c r="C623" s="8"/>
      <c r="H623" s="2" t="str">
        <f>IF(G623="","",VLOOKUP(G623,业务功能_系统接口!B216:$H$1416,2,FALSE))</f>
        <v/>
      </c>
      <c r="I623" s="2" t="str">
        <f>IF(G623="","",VLOOKUP(G623,业务功能_系统接口!B216:$H$1416,3,FALSE))</f>
        <v/>
      </c>
      <c r="J623" s="2" t="str">
        <f>IF(G623="","",VLOOKUP(G623,业务功能_系统接口!B216:$H$1416,4,FALSE))</f>
        <v/>
      </c>
    </row>
    <row r="624" spans="3:10">
      <c r="C624" s="8"/>
      <c r="H624" s="2" t="str">
        <f>IF(G624="","",VLOOKUP(G624,业务功能_系统接口!B217:$H$1416,2,FALSE))</f>
        <v/>
      </c>
      <c r="I624" s="2" t="str">
        <f>IF(G624="","",VLOOKUP(G624,业务功能_系统接口!B217:$H$1416,3,FALSE))</f>
        <v/>
      </c>
      <c r="J624" s="2" t="str">
        <f>IF(G624="","",VLOOKUP(G624,业务功能_系统接口!B217:$H$1416,4,FALSE))</f>
        <v/>
      </c>
    </row>
    <row r="625" spans="3:10">
      <c r="C625" s="8"/>
      <c r="H625" s="2" t="str">
        <f>IF(G625="","",VLOOKUP(G625,业务功能_系统接口!B218:$H$1416,2,FALSE))</f>
        <v/>
      </c>
      <c r="I625" s="2" t="str">
        <f>IF(G625="","",VLOOKUP(G625,业务功能_系统接口!B218:$H$1416,3,FALSE))</f>
        <v/>
      </c>
      <c r="J625" s="2" t="str">
        <f>IF(G625="","",VLOOKUP(G625,业务功能_系统接口!B218:$H$1416,4,FALSE))</f>
        <v/>
      </c>
    </row>
    <row r="626" spans="3:10">
      <c r="C626" s="8"/>
      <c r="H626" s="2" t="str">
        <f>IF(G626="","",VLOOKUP(G626,业务功能_系统接口!B219:$H$1416,2,FALSE))</f>
        <v/>
      </c>
      <c r="I626" s="2" t="str">
        <f>IF(G626="","",VLOOKUP(G626,业务功能_系统接口!B219:$H$1416,3,FALSE))</f>
        <v/>
      </c>
      <c r="J626" s="2" t="str">
        <f>IF(G626="","",VLOOKUP(G626,业务功能_系统接口!B219:$H$1416,4,FALSE))</f>
        <v/>
      </c>
    </row>
    <row r="627" spans="3:10">
      <c r="C627" s="8"/>
      <c r="H627" s="2" t="str">
        <f>IF(G627="","",VLOOKUP(G627,业务功能_系统接口!B220:$H$1416,2,FALSE))</f>
        <v/>
      </c>
      <c r="I627" s="2" t="str">
        <f>IF(G627="","",VLOOKUP(G627,业务功能_系统接口!B220:$H$1416,3,FALSE))</f>
        <v/>
      </c>
      <c r="J627" s="2" t="str">
        <f>IF(G627="","",VLOOKUP(G627,业务功能_系统接口!B220:$H$1416,4,FALSE))</f>
        <v/>
      </c>
    </row>
    <row r="628" spans="3:10">
      <c r="C628" s="8"/>
      <c r="H628" s="2" t="str">
        <f>IF(G628="","",VLOOKUP(G628,业务功能_系统接口!B221:$H$1416,2,FALSE))</f>
        <v/>
      </c>
      <c r="I628" s="2" t="str">
        <f>IF(G628="","",VLOOKUP(G628,业务功能_系统接口!B221:$H$1416,3,FALSE))</f>
        <v/>
      </c>
      <c r="J628" s="2" t="str">
        <f>IF(G628="","",VLOOKUP(G628,业务功能_系统接口!B221:$H$1416,4,FALSE))</f>
        <v/>
      </c>
    </row>
    <row r="629" spans="3:10">
      <c r="C629" s="8"/>
      <c r="H629" s="2" t="str">
        <f>IF(G629="","",VLOOKUP(G629,业务功能_系统接口!B222:$H$1416,2,FALSE))</f>
        <v/>
      </c>
      <c r="I629" s="2" t="str">
        <f>IF(G629="","",VLOOKUP(G629,业务功能_系统接口!B222:$H$1416,3,FALSE))</f>
        <v/>
      </c>
      <c r="J629" s="2" t="str">
        <f>IF(G629="","",VLOOKUP(G629,业务功能_系统接口!B222:$H$1416,4,FALSE))</f>
        <v/>
      </c>
    </row>
    <row r="630" spans="3:10">
      <c r="C630" s="8"/>
      <c r="H630" s="2" t="str">
        <f>IF(G630="","",VLOOKUP(G630,业务功能_系统接口!B223:$H$1416,2,FALSE))</f>
        <v/>
      </c>
      <c r="I630" s="2" t="str">
        <f>IF(G630="","",VLOOKUP(G630,业务功能_系统接口!B223:$H$1416,3,FALSE))</f>
        <v/>
      </c>
      <c r="J630" s="2" t="str">
        <f>IF(G630="","",VLOOKUP(G630,业务功能_系统接口!B223:$H$1416,4,FALSE))</f>
        <v/>
      </c>
    </row>
    <row r="631" spans="3:10">
      <c r="C631" s="8"/>
      <c r="H631" s="2" t="str">
        <f>IF(G631="","",VLOOKUP(G631,业务功能_系统接口!B224:$H$1416,2,FALSE))</f>
        <v/>
      </c>
      <c r="I631" s="2" t="str">
        <f>IF(G631="","",VLOOKUP(G631,业务功能_系统接口!B224:$H$1416,3,FALSE))</f>
        <v/>
      </c>
      <c r="J631" s="2" t="str">
        <f>IF(G631="","",VLOOKUP(G631,业务功能_系统接口!B224:$H$1416,4,FALSE))</f>
        <v/>
      </c>
    </row>
    <row r="632" spans="3:10">
      <c r="C632" s="8"/>
      <c r="H632" s="2" t="str">
        <f>IF(G632="","",VLOOKUP(G632,业务功能_系统接口!B225:$H$1416,2,FALSE))</f>
        <v/>
      </c>
      <c r="I632" s="2" t="str">
        <f>IF(G632="","",VLOOKUP(G632,业务功能_系统接口!B225:$H$1416,3,FALSE))</f>
        <v/>
      </c>
      <c r="J632" s="2" t="str">
        <f>IF(G632="","",VLOOKUP(G632,业务功能_系统接口!B225:$H$1416,4,FALSE))</f>
        <v/>
      </c>
    </row>
    <row r="633" spans="3:10">
      <c r="C633" s="8"/>
      <c r="H633" s="2" t="str">
        <f>IF(G633="","",VLOOKUP(G633,业务功能_系统接口!B226:$H$1416,2,FALSE))</f>
        <v/>
      </c>
      <c r="I633" s="2" t="str">
        <f>IF(G633="","",VLOOKUP(G633,业务功能_系统接口!B226:$H$1416,3,FALSE))</f>
        <v/>
      </c>
      <c r="J633" s="2" t="str">
        <f>IF(G633="","",VLOOKUP(G633,业务功能_系统接口!B226:$H$1416,4,FALSE))</f>
        <v/>
      </c>
    </row>
    <row r="634" spans="3:10">
      <c r="C634" s="8"/>
      <c r="H634" s="2" t="str">
        <f>IF(G634="","",VLOOKUP(G634,业务功能_系统接口!B227:$H$1416,2,FALSE))</f>
        <v/>
      </c>
      <c r="I634" s="2" t="str">
        <f>IF(G634="","",VLOOKUP(G634,业务功能_系统接口!B227:$H$1416,3,FALSE))</f>
        <v/>
      </c>
      <c r="J634" s="2" t="str">
        <f>IF(G634="","",VLOOKUP(G634,业务功能_系统接口!B227:$H$1416,4,FALSE))</f>
        <v/>
      </c>
    </row>
    <row r="635" spans="3:10">
      <c r="C635" s="8"/>
      <c r="H635" s="2" t="str">
        <f>IF(G635="","",VLOOKUP(G635,业务功能_系统接口!B228:$H$1416,2,FALSE))</f>
        <v/>
      </c>
      <c r="I635" s="2" t="str">
        <f>IF(G635="","",VLOOKUP(G635,业务功能_系统接口!B228:$H$1416,3,FALSE))</f>
        <v/>
      </c>
      <c r="J635" s="2" t="str">
        <f>IF(G635="","",VLOOKUP(G635,业务功能_系统接口!B228:$H$1416,4,FALSE))</f>
        <v/>
      </c>
    </row>
    <row r="636" spans="3:10">
      <c r="C636" s="8"/>
      <c r="H636" s="2" t="str">
        <f>IF(G636="","",VLOOKUP(G636,业务功能_系统接口!B229:$H$1416,2,FALSE))</f>
        <v/>
      </c>
      <c r="I636" s="2" t="str">
        <f>IF(G636="","",VLOOKUP(G636,业务功能_系统接口!B229:$H$1416,3,FALSE))</f>
        <v/>
      </c>
      <c r="J636" s="2" t="str">
        <f>IF(G636="","",VLOOKUP(G636,业务功能_系统接口!B229:$H$1416,4,FALSE))</f>
        <v/>
      </c>
    </row>
    <row r="637" spans="3:10">
      <c r="C637" s="8"/>
      <c r="H637" s="2" t="str">
        <f>IF(G637="","",VLOOKUP(G637,业务功能_系统接口!B230:$H$1416,2,FALSE))</f>
        <v/>
      </c>
      <c r="I637" s="2" t="str">
        <f>IF(G637="","",VLOOKUP(G637,业务功能_系统接口!B230:$H$1416,3,FALSE))</f>
        <v/>
      </c>
      <c r="J637" s="2" t="str">
        <f>IF(G637="","",VLOOKUP(G637,业务功能_系统接口!B230:$H$1416,4,FALSE))</f>
        <v/>
      </c>
    </row>
    <row r="638" spans="3:10">
      <c r="C638" s="8"/>
      <c r="H638" s="2" t="str">
        <f>IF(G638="","",VLOOKUP(G638,业务功能_系统接口!B231:$H$1416,2,FALSE))</f>
        <v/>
      </c>
      <c r="I638" s="2" t="str">
        <f>IF(G638="","",VLOOKUP(G638,业务功能_系统接口!B231:$H$1416,3,FALSE))</f>
        <v/>
      </c>
      <c r="J638" s="2" t="str">
        <f>IF(G638="","",VLOOKUP(G638,业务功能_系统接口!B231:$H$1416,4,FALSE))</f>
        <v/>
      </c>
    </row>
    <row r="639" spans="3:10">
      <c r="C639" s="8"/>
      <c r="H639" s="2" t="str">
        <f>IF(G639="","",VLOOKUP(G639,业务功能_系统接口!B232:$H$1416,2,FALSE))</f>
        <v/>
      </c>
      <c r="I639" s="2" t="str">
        <f>IF(G639="","",VLOOKUP(G639,业务功能_系统接口!B232:$H$1416,3,FALSE))</f>
        <v/>
      </c>
      <c r="J639" s="2" t="str">
        <f>IF(G639="","",VLOOKUP(G639,业务功能_系统接口!B232:$H$1416,4,FALSE))</f>
        <v/>
      </c>
    </row>
    <row r="640" spans="3:10">
      <c r="C640" s="8"/>
      <c r="H640" s="2" t="str">
        <f>IF(G640="","",VLOOKUP(G640,业务功能_系统接口!B233:$H$1416,2,FALSE))</f>
        <v/>
      </c>
      <c r="I640" s="2" t="str">
        <f>IF(G640="","",VLOOKUP(G640,业务功能_系统接口!B233:$H$1416,3,FALSE))</f>
        <v/>
      </c>
      <c r="J640" s="2" t="str">
        <f>IF(G640="","",VLOOKUP(G640,业务功能_系统接口!B233:$H$1416,4,FALSE))</f>
        <v/>
      </c>
    </row>
    <row r="641" spans="3:10">
      <c r="C641" s="8"/>
      <c r="H641" s="2" t="str">
        <f>IF(G641="","",VLOOKUP(G641,业务功能_系统接口!B234:$H$1416,2,FALSE))</f>
        <v/>
      </c>
      <c r="I641" s="2" t="str">
        <f>IF(G641="","",VLOOKUP(G641,业务功能_系统接口!B234:$H$1416,3,FALSE))</f>
        <v/>
      </c>
      <c r="J641" s="2" t="str">
        <f>IF(G641="","",VLOOKUP(G641,业务功能_系统接口!B234:$H$1416,4,FALSE))</f>
        <v/>
      </c>
    </row>
    <row r="642" spans="3:10">
      <c r="C642" s="8"/>
      <c r="H642" s="2" t="str">
        <f>IF(G642="","",VLOOKUP(G642,业务功能_系统接口!B235:$H$1416,2,FALSE))</f>
        <v/>
      </c>
      <c r="I642" s="2" t="str">
        <f>IF(G642="","",VLOOKUP(G642,业务功能_系统接口!B235:$H$1416,3,FALSE))</f>
        <v/>
      </c>
      <c r="J642" s="2" t="str">
        <f>IF(G642="","",VLOOKUP(G642,业务功能_系统接口!B235:$H$1416,4,FALSE))</f>
        <v/>
      </c>
    </row>
    <row r="643" spans="3:10">
      <c r="C643" s="8"/>
      <c r="H643" s="2" t="str">
        <f>IF(G643="","",VLOOKUP(G643,业务功能_系统接口!B236:$H$1416,2,FALSE))</f>
        <v/>
      </c>
      <c r="I643" s="2" t="str">
        <f>IF(G643="","",VLOOKUP(G643,业务功能_系统接口!B236:$H$1416,3,FALSE))</f>
        <v/>
      </c>
      <c r="J643" s="2" t="str">
        <f>IF(G643="","",VLOOKUP(G643,业务功能_系统接口!B236:$H$1416,4,FALSE))</f>
        <v/>
      </c>
    </row>
    <row r="644" spans="3:10">
      <c r="C644" s="8"/>
      <c r="H644" s="2" t="str">
        <f>IF(G644="","",VLOOKUP(G644,业务功能_系统接口!B237:$H$1416,2,FALSE))</f>
        <v/>
      </c>
      <c r="I644" s="2" t="str">
        <f>IF(G644="","",VLOOKUP(G644,业务功能_系统接口!B237:$H$1416,3,FALSE))</f>
        <v/>
      </c>
      <c r="J644" s="2" t="str">
        <f>IF(G644="","",VLOOKUP(G644,业务功能_系统接口!B237:$H$1416,4,FALSE))</f>
        <v/>
      </c>
    </row>
    <row r="645" spans="3:10">
      <c r="C645" s="8"/>
      <c r="H645" s="2" t="str">
        <f>IF(G645="","",VLOOKUP(G645,业务功能_系统接口!B238:$H$1416,2,FALSE))</f>
        <v/>
      </c>
      <c r="I645" s="2" t="str">
        <f>IF(G645="","",VLOOKUP(G645,业务功能_系统接口!B238:$H$1416,3,FALSE))</f>
        <v/>
      </c>
      <c r="J645" s="2" t="str">
        <f>IF(G645="","",VLOOKUP(G645,业务功能_系统接口!B238:$H$1416,4,FALSE))</f>
        <v/>
      </c>
    </row>
    <row r="646" spans="3:10">
      <c r="C646" s="8"/>
      <c r="H646" s="2" t="str">
        <f>IF(G646="","",VLOOKUP(G646,业务功能_系统接口!B239:$H$1416,2,FALSE))</f>
        <v/>
      </c>
      <c r="I646" s="2" t="str">
        <f>IF(G646="","",VLOOKUP(G646,业务功能_系统接口!B239:$H$1416,3,FALSE))</f>
        <v/>
      </c>
      <c r="J646" s="2" t="str">
        <f>IF(G646="","",VLOOKUP(G646,业务功能_系统接口!B239:$H$1416,4,FALSE))</f>
        <v/>
      </c>
    </row>
    <row r="647" spans="3:10">
      <c r="C647" s="8"/>
      <c r="H647" s="2" t="str">
        <f>IF(G647="","",VLOOKUP(G647,业务功能_系统接口!B240:$H$1416,2,FALSE))</f>
        <v/>
      </c>
      <c r="I647" s="2" t="str">
        <f>IF(G647="","",VLOOKUP(G647,业务功能_系统接口!B240:$H$1416,3,FALSE))</f>
        <v/>
      </c>
      <c r="J647" s="2" t="str">
        <f>IF(G647="","",VLOOKUP(G647,业务功能_系统接口!B240:$H$1416,4,FALSE))</f>
        <v/>
      </c>
    </row>
    <row r="648" spans="3:10">
      <c r="C648" s="8"/>
      <c r="H648" s="2" t="str">
        <f>IF(G648="","",VLOOKUP(G648,业务功能_系统接口!B241:$H$1416,2,FALSE))</f>
        <v/>
      </c>
      <c r="I648" s="2" t="str">
        <f>IF(G648="","",VLOOKUP(G648,业务功能_系统接口!B241:$H$1416,3,FALSE))</f>
        <v/>
      </c>
      <c r="J648" s="2" t="str">
        <f>IF(G648="","",VLOOKUP(G648,业务功能_系统接口!B241:$H$1416,4,FALSE))</f>
        <v/>
      </c>
    </row>
    <row r="649" spans="3:10">
      <c r="C649" s="8"/>
      <c r="H649" s="2" t="str">
        <f>IF(G649="","",VLOOKUP(G649,业务功能_系统接口!B242:$H$1416,2,FALSE))</f>
        <v/>
      </c>
      <c r="I649" s="2" t="str">
        <f>IF(G649="","",VLOOKUP(G649,业务功能_系统接口!B242:$H$1416,3,FALSE))</f>
        <v/>
      </c>
      <c r="J649" s="2" t="str">
        <f>IF(G649="","",VLOOKUP(G649,业务功能_系统接口!B242:$H$1416,4,FALSE))</f>
        <v/>
      </c>
    </row>
    <row r="650" spans="3:10">
      <c r="C650" s="8"/>
      <c r="H650" s="2" t="str">
        <f>IF(G650="","",VLOOKUP(G650,业务功能_系统接口!B243:$H$1416,2,FALSE))</f>
        <v/>
      </c>
      <c r="I650" s="2" t="str">
        <f>IF(G650="","",VLOOKUP(G650,业务功能_系统接口!B243:$H$1416,3,FALSE))</f>
        <v/>
      </c>
      <c r="J650" s="2" t="str">
        <f>IF(G650="","",VLOOKUP(G650,业务功能_系统接口!B243:$H$1416,4,FALSE))</f>
        <v/>
      </c>
    </row>
    <row r="651" spans="3:10">
      <c r="C651" s="8"/>
      <c r="H651" s="2" t="str">
        <f>IF(G651="","",VLOOKUP(G651,业务功能_系统接口!B244:$H$1416,2,FALSE))</f>
        <v/>
      </c>
      <c r="I651" s="2" t="str">
        <f>IF(G651="","",VLOOKUP(G651,业务功能_系统接口!B244:$H$1416,3,FALSE))</f>
        <v/>
      </c>
      <c r="J651" s="2" t="str">
        <f>IF(G651="","",VLOOKUP(G651,业务功能_系统接口!B244:$H$1416,4,FALSE))</f>
        <v/>
      </c>
    </row>
    <row r="652" spans="3:10">
      <c r="C652" s="8"/>
      <c r="H652" s="2" t="str">
        <f>IF(G652="","",VLOOKUP(G652,业务功能_系统接口!B245:$H$1416,2,FALSE))</f>
        <v/>
      </c>
      <c r="I652" s="2" t="str">
        <f>IF(G652="","",VLOOKUP(G652,业务功能_系统接口!B245:$H$1416,3,FALSE))</f>
        <v/>
      </c>
      <c r="J652" s="2" t="str">
        <f>IF(G652="","",VLOOKUP(G652,业务功能_系统接口!B245:$H$1416,4,FALSE))</f>
        <v/>
      </c>
    </row>
    <row r="653" spans="3:10">
      <c r="C653" s="8"/>
      <c r="H653" s="2" t="str">
        <f>IF(G653="","",VLOOKUP(G653,业务功能_系统接口!B246:$H$1416,2,FALSE))</f>
        <v/>
      </c>
      <c r="I653" s="2" t="str">
        <f>IF(G653="","",VLOOKUP(G653,业务功能_系统接口!B246:$H$1416,3,FALSE))</f>
        <v/>
      </c>
      <c r="J653" s="2" t="str">
        <f>IF(G653="","",VLOOKUP(G653,业务功能_系统接口!B246:$H$1416,4,FALSE))</f>
        <v/>
      </c>
    </row>
    <row r="654" spans="3:10">
      <c r="C654" s="8"/>
      <c r="H654" s="2" t="str">
        <f>IF(G654="","",VLOOKUP(G654,业务功能_系统接口!B247:$H$1416,2,FALSE))</f>
        <v/>
      </c>
      <c r="I654" s="2" t="str">
        <f>IF(G654="","",VLOOKUP(G654,业务功能_系统接口!B247:$H$1416,3,FALSE))</f>
        <v/>
      </c>
      <c r="J654" s="2" t="str">
        <f>IF(G654="","",VLOOKUP(G654,业务功能_系统接口!B247:$H$1416,4,FALSE))</f>
        <v/>
      </c>
    </row>
    <row r="655" spans="3:10">
      <c r="C655" s="8"/>
      <c r="H655" s="2" t="str">
        <f>IF(G655="","",VLOOKUP(G655,业务功能_系统接口!B248:$H$1416,2,FALSE))</f>
        <v/>
      </c>
      <c r="I655" s="2" t="str">
        <f>IF(G655="","",VLOOKUP(G655,业务功能_系统接口!B248:$H$1416,3,FALSE))</f>
        <v/>
      </c>
      <c r="J655" s="2" t="str">
        <f>IF(G655="","",VLOOKUP(G655,业务功能_系统接口!B248:$H$1416,4,FALSE))</f>
        <v/>
      </c>
    </row>
    <row r="656" spans="3:10">
      <c r="C656" s="8"/>
      <c r="H656" s="2" t="str">
        <f>IF(G656="","",VLOOKUP(G656,业务功能_系统接口!B249:$H$1416,2,FALSE))</f>
        <v/>
      </c>
      <c r="I656" s="2" t="str">
        <f>IF(G656="","",VLOOKUP(G656,业务功能_系统接口!B249:$H$1416,3,FALSE))</f>
        <v/>
      </c>
      <c r="J656" s="2" t="str">
        <f>IF(G656="","",VLOOKUP(G656,业务功能_系统接口!B249:$H$1416,4,FALSE))</f>
        <v/>
      </c>
    </row>
    <row r="657" spans="3:10">
      <c r="C657" s="8"/>
      <c r="H657" s="2" t="str">
        <f>IF(G657="","",VLOOKUP(G657,业务功能_系统接口!B250:$H$1416,2,FALSE))</f>
        <v/>
      </c>
      <c r="I657" s="2" t="str">
        <f>IF(G657="","",VLOOKUP(G657,业务功能_系统接口!B250:$H$1416,3,FALSE))</f>
        <v/>
      </c>
      <c r="J657" s="2" t="str">
        <f>IF(G657="","",VLOOKUP(G657,业务功能_系统接口!B250:$H$1416,4,FALSE))</f>
        <v/>
      </c>
    </row>
    <row r="658" spans="3:10">
      <c r="C658" s="8"/>
      <c r="H658" s="2" t="str">
        <f>IF(G658="","",VLOOKUP(G658,业务功能_系统接口!B251:$H$1416,2,FALSE))</f>
        <v/>
      </c>
      <c r="I658" s="2" t="str">
        <f>IF(G658="","",VLOOKUP(G658,业务功能_系统接口!B251:$H$1416,3,FALSE))</f>
        <v/>
      </c>
      <c r="J658" s="2" t="str">
        <f>IF(G658="","",VLOOKUP(G658,业务功能_系统接口!B251:$H$1416,4,FALSE))</f>
        <v/>
      </c>
    </row>
    <row r="659" spans="3:10">
      <c r="C659" s="8"/>
      <c r="H659" s="2" t="str">
        <f>IF(G659="","",VLOOKUP(G659,业务功能_系统接口!B252:$H$1416,2,FALSE))</f>
        <v/>
      </c>
      <c r="I659" s="2" t="str">
        <f>IF(G659="","",VLOOKUP(G659,业务功能_系统接口!B252:$H$1416,3,FALSE))</f>
        <v/>
      </c>
      <c r="J659" s="2" t="str">
        <f>IF(G659="","",VLOOKUP(G659,业务功能_系统接口!B252:$H$1416,4,FALSE))</f>
        <v/>
      </c>
    </row>
    <row r="660" spans="3:10">
      <c r="C660" s="8"/>
      <c r="H660" s="2" t="str">
        <f>IF(G660="","",VLOOKUP(G660,业务功能_系统接口!B253:$H$1416,2,FALSE))</f>
        <v/>
      </c>
      <c r="I660" s="2" t="str">
        <f>IF(G660="","",VLOOKUP(G660,业务功能_系统接口!B253:$H$1416,3,FALSE))</f>
        <v/>
      </c>
      <c r="J660" s="2" t="str">
        <f>IF(G660="","",VLOOKUP(G660,业务功能_系统接口!B253:$H$1416,4,FALSE))</f>
        <v/>
      </c>
    </row>
    <row r="661" spans="3:10">
      <c r="C661" s="8"/>
      <c r="H661" s="2" t="str">
        <f>IF(G661="","",VLOOKUP(G661,业务功能_系统接口!B254:$H$1416,2,FALSE))</f>
        <v/>
      </c>
      <c r="I661" s="2" t="str">
        <f>IF(G661="","",VLOOKUP(G661,业务功能_系统接口!B254:$H$1416,3,FALSE))</f>
        <v/>
      </c>
      <c r="J661" s="2" t="str">
        <f>IF(G661="","",VLOOKUP(G661,业务功能_系统接口!B254:$H$1416,4,FALSE))</f>
        <v/>
      </c>
    </row>
    <row r="662" spans="3:10">
      <c r="C662" s="8"/>
      <c r="H662" s="2" t="str">
        <f>IF(G662="","",VLOOKUP(G662,业务功能_系统接口!B255:$H$1416,2,FALSE))</f>
        <v/>
      </c>
      <c r="I662" s="2" t="str">
        <f>IF(G662="","",VLOOKUP(G662,业务功能_系统接口!B255:$H$1416,3,FALSE))</f>
        <v/>
      </c>
      <c r="J662" s="2" t="str">
        <f>IF(G662="","",VLOOKUP(G662,业务功能_系统接口!B255:$H$1416,4,FALSE))</f>
        <v/>
      </c>
    </row>
    <row r="663" spans="3:10">
      <c r="C663" s="8"/>
      <c r="H663" s="2" t="str">
        <f>IF(G663="","",VLOOKUP(G663,业务功能_系统接口!B256:$H$1416,2,FALSE))</f>
        <v/>
      </c>
      <c r="I663" s="2" t="str">
        <f>IF(G663="","",VLOOKUP(G663,业务功能_系统接口!B256:$H$1416,3,FALSE))</f>
        <v/>
      </c>
      <c r="J663" s="2" t="str">
        <f>IF(G663="","",VLOOKUP(G663,业务功能_系统接口!B256:$H$1416,4,FALSE))</f>
        <v/>
      </c>
    </row>
    <row r="664" spans="3:10">
      <c r="C664" s="8"/>
      <c r="H664" s="2" t="str">
        <f>IF(G664="","",VLOOKUP(G664,业务功能_系统接口!B257:$H$1416,2,FALSE))</f>
        <v/>
      </c>
      <c r="I664" s="2" t="str">
        <f>IF(G664="","",VLOOKUP(G664,业务功能_系统接口!B257:$H$1416,3,FALSE))</f>
        <v/>
      </c>
      <c r="J664" s="2" t="str">
        <f>IF(G664="","",VLOOKUP(G664,业务功能_系统接口!B257:$H$1416,4,FALSE))</f>
        <v/>
      </c>
    </row>
    <row r="665" spans="3:10">
      <c r="C665" s="8"/>
      <c r="H665" s="2" t="str">
        <f>IF(G665="","",VLOOKUP(G665,业务功能_系统接口!B258:$H$1416,2,FALSE))</f>
        <v/>
      </c>
      <c r="I665" s="2" t="str">
        <f>IF(G665="","",VLOOKUP(G665,业务功能_系统接口!B258:$H$1416,3,FALSE))</f>
        <v/>
      </c>
      <c r="J665" s="2" t="str">
        <f>IF(G665="","",VLOOKUP(G665,业务功能_系统接口!B258:$H$1416,4,FALSE))</f>
        <v/>
      </c>
    </row>
    <row r="666" spans="3:10">
      <c r="C666" s="8"/>
      <c r="H666" s="2" t="str">
        <f>IF(G666="","",VLOOKUP(G666,业务功能_系统接口!B259:$H$1416,2,FALSE))</f>
        <v/>
      </c>
      <c r="I666" s="2" t="str">
        <f>IF(G666="","",VLOOKUP(G666,业务功能_系统接口!B259:$H$1416,3,FALSE))</f>
        <v/>
      </c>
      <c r="J666" s="2" t="str">
        <f>IF(G666="","",VLOOKUP(G666,业务功能_系统接口!B259:$H$1416,4,FALSE))</f>
        <v/>
      </c>
    </row>
    <row r="667" spans="3:10">
      <c r="C667" s="8"/>
      <c r="H667" s="2" t="str">
        <f>IF(G667="","",VLOOKUP(G667,业务功能_系统接口!B260:$H$1416,2,FALSE))</f>
        <v/>
      </c>
      <c r="I667" s="2" t="str">
        <f>IF(G667="","",VLOOKUP(G667,业务功能_系统接口!B260:$H$1416,3,FALSE))</f>
        <v/>
      </c>
      <c r="J667" s="2" t="str">
        <f>IF(G667="","",VLOOKUP(G667,业务功能_系统接口!B260:$H$1416,4,FALSE))</f>
        <v/>
      </c>
    </row>
    <row r="668" spans="3:10">
      <c r="C668" s="8"/>
      <c r="H668" s="2" t="str">
        <f>IF(G668="","",VLOOKUP(G668,业务功能_系统接口!B261:$H$1416,2,FALSE))</f>
        <v/>
      </c>
      <c r="I668" s="2" t="str">
        <f>IF(G668="","",VLOOKUP(G668,业务功能_系统接口!B261:$H$1416,3,FALSE))</f>
        <v/>
      </c>
      <c r="J668" s="2" t="str">
        <f>IF(G668="","",VLOOKUP(G668,业务功能_系统接口!B261:$H$1416,4,FALSE))</f>
        <v/>
      </c>
    </row>
    <row r="669" spans="3:10">
      <c r="C669" s="8"/>
      <c r="H669" s="2" t="str">
        <f>IF(G669="","",VLOOKUP(G669,业务功能_系统接口!B262:$H$1416,2,FALSE))</f>
        <v/>
      </c>
      <c r="I669" s="2" t="str">
        <f>IF(G669="","",VLOOKUP(G669,业务功能_系统接口!B262:$H$1416,3,FALSE))</f>
        <v/>
      </c>
      <c r="J669" s="2" t="str">
        <f>IF(G669="","",VLOOKUP(G669,业务功能_系统接口!B262:$H$1416,4,FALSE))</f>
        <v/>
      </c>
    </row>
    <row r="670" spans="3:10">
      <c r="C670" s="8"/>
      <c r="H670" s="2" t="str">
        <f>IF(G670="","",VLOOKUP(G670,业务功能_系统接口!B263:$H$1416,2,FALSE))</f>
        <v/>
      </c>
      <c r="I670" s="2" t="str">
        <f>IF(G670="","",VLOOKUP(G670,业务功能_系统接口!B263:$H$1416,3,FALSE))</f>
        <v/>
      </c>
      <c r="J670" s="2" t="str">
        <f>IF(G670="","",VLOOKUP(G670,业务功能_系统接口!B263:$H$1416,4,FALSE))</f>
        <v/>
      </c>
    </row>
    <row r="671" spans="3:10">
      <c r="C671" s="8"/>
      <c r="H671" s="2" t="str">
        <f>IF(G671="","",VLOOKUP(G671,业务功能_系统接口!B264:$H$1416,2,FALSE))</f>
        <v/>
      </c>
      <c r="I671" s="2" t="str">
        <f>IF(G671="","",VLOOKUP(G671,业务功能_系统接口!B264:$H$1416,3,FALSE))</f>
        <v/>
      </c>
      <c r="J671" s="2" t="str">
        <f>IF(G671="","",VLOOKUP(G671,业务功能_系统接口!B264:$H$1416,4,FALSE))</f>
        <v/>
      </c>
    </row>
    <row r="672" spans="3:10">
      <c r="C672" s="8"/>
      <c r="H672" s="2" t="str">
        <f>IF(G672="","",VLOOKUP(G672,业务功能_系统接口!B265:$H$1416,2,FALSE))</f>
        <v/>
      </c>
      <c r="I672" s="2" t="str">
        <f>IF(G672="","",VLOOKUP(G672,业务功能_系统接口!B265:$H$1416,3,FALSE))</f>
        <v/>
      </c>
      <c r="J672" s="2" t="str">
        <f>IF(G672="","",VLOOKUP(G672,业务功能_系统接口!B265:$H$1416,4,FALSE))</f>
        <v/>
      </c>
    </row>
    <row r="673" spans="3:10">
      <c r="C673" s="8"/>
      <c r="H673" s="2" t="str">
        <f>IF(G673="","",VLOOKUP(G673,业务功能_系统接口!B266:$H$1416,2,FALSE))</f>
        <v/>
      </c>
      <c r="I673" s="2" t="str">
        <f>IF(G673="","",VLOOKUP(G673,业务功能_系统接口!B266:$H$1416,3,FALSE))</f>
        <v/>
      </c>
      <c r="J673" s="2" t="str">
        <f>IF(G673="","",VLOOKUP(G673,业务功能_系统接口!B266:$H$1416,4,FALSE))</f>
        <v/>
      </c>
    </row>
    <row r="674" spans="3:10">
      <c r="C674" s="8"/>
      <c r="H674" s="2" t="str">
        <f>IF(G674="","",VLOOKUP(G674,业务功能_系统接口!B267:$H$1416,2,FALSE))</f>
        <v/>
      </c>
      <c r="I674" s="2" t="str">
        <f>IF(G674="","",VLOOKUP(G674,业务功能_系统接口!B267:$H$1416,3,FALSE))</f>
        <v/>
      </c>
      <c r="J674" s="2" t="str">
        <f>IF(G674="","",VLOOKUP(G674,业务功能_系统接口!B267:$H$1416,4,FALSE))</f>
        <v/>
      </c>
    </row>
    <row r="675" spans="3:10">
      <c r="C675" s="8"/>
      <c r="H675" s="2" t="str">
        <f>IF(G675="","",VLOOKUP(G675,业务功能_系统接口!B268:$H$1416,2,FALSE))</f>
        <v/>
      </c>
      <c r="I675" s="2" t="str">
        <f>IF(G675="","",VLOOKUP(G675,业务功能_系统接口!B268:$H$1416,3,FALSE))</f>
        <v/>
      </c>
      <c r="J675" s="2" t="str">
        <f>IF(G675="","",VLOOKUP(G675,业务功能_系统接口!B268:$H$1416,4,FALSE))</f>
        <v/>
      </c>
    </row>
    <row r="676" spans="3:10">
      <c r="C676" s="8"/>
      <c r="H676" s="2" t="str">
        <f>IF(G676="","",VLOOKUP(G676,业务功能_系统接口!B269:$H$1416,2,FALSE))</f>
        <v/>
      </c>
      <c r="I676" s="2" t="str">
        <f>IF(G676="","",VLOOKUP(G676,业务功能_系统接口!B269:$H$1416,3,FALSE))</f>
        <v/>
      </c>
      <c r="J676" s="2" t="str">
        <f>IF(G676="","",VLOOKUP(G676,业务功能_系统接口!B269:$H$1416,4,FALSE))</f>
        <v/>
      </c>
    </row>
    <row r="677" spans="3:10">
      <c r="C677" s="8"/>
      <c r="H677" s="2" t="str">
        <f>IF(G677="","",VLOOKUP(G677,业务功能_系统接口!B270:$H$1416,2,FALSE))</f>
        <v/>
      </c>
      <c r="I677" s="2" t="str">
        <f>IF(G677="","",VLOOKUP(G677,业务功能_系统接口!B270:$H$1416,3,FALSE))</f>
        <v/>
      </c>
      <c r="J677" s="2" t="str">
        <f>IF(G677="","",VLOOKUP(G677,业务功能_系统接口!B270:$H$1416,4,FALSE))</f>
        <v/>
      </c>
    </row>
    <row r="678" spans="3:10">
      <c r="C678" s="8"/>
      <c r="H678" s="2" t="str">
        <f>IF(G678="","",VLOOKUP(G678,业务功能_系统接口!B271:$H$1416,2,FALSE))</f>
        <v/>
      </c>
      <c r="I678" s="2" t="str">
        <f>IF(G678="","",VLOOKUP(G678,业务功能_系统接口!B271:$H$1416,3,FALSE))</f>
        <v/>
      </c>
      <c r="J678" s="2" t="str">
        <f>IF(G678="","",VLOOKUP(G678,业务功能_系统接口!B271:$H$1416,4,FALSE))</f>
        <v/>
      </c>
    </row>
    <row r="679" spans="3:10">
      <c r="C679" s="8"/>
      <c r="H679" s="2" t="str">
        <f>IF(G679="","",VLOOKUP(G679,业务功能_系统接口!B272:$H$1416,2,FALSE))</f>
        <v/>
      </c>
      <c r="I679" s="2" t="str">
        <f>IF(G679="","",VLOOKUP(G679,业务功能_系统接口!B272:$H$1416,3,FALSE))</f>
        <v/>
      </c>
      <c r="J679" s="2" t="str">
        <f>IF(G679="","",VLOOKUP(G679,业务功能_系统接口!B272:$H$1416,4,FALSE))</f>
        <v/>
      </c>
    </row>
    <row r="680" spans="3:10">
      <c r="C680" s="8"/>
      <c r="H680" s="2" t="str">
        <f>IF(G680="","",VLOOKUP(G680,业务功能_系统接口!B273:$H$1416,2,FALSE))</f>
        <v/>
      </c>
      <c r="I680" s="2" t="str">
        <f>IF(G680="","",VLOOKUP(G680,业务功能_系统接口!B273:$H$1416,3,FALSE))</f>
        <v/>
      </c>
      <c r="J680" s="2" t="str">
        <f>IF(G680="","",VLOOKUP(G680,业务功能_系统接口!B273:$H$1416,4,FALSE))</f>
        <v/>
      </c>
    </row>
    <row r="681" spans="3:10">
      <c r="C681" s="8"/>
      <c r="H681" s="2" t="str">
        <f>IF(G681="","",VLOOKUP(G681,业务功能_系统接口!B274:$H$1416,2,FALSE))</f>
        <v/>
      </c>
      <c r="I681" s="2" t="str">
        <f>IF(G681="","",VLOOKUP(G681,业务功能_系统接口!B274:$H$1416,3,FALSE))</f>
        <v/>
      </c>
      <c r="J681" s="2" t="str">
        <f>IF(G681="","",VLOOKUP(G681,业务功能_系统接口!B274:$H$1416,4,FALSE))</f>
        <v/>
      </c>
    </row>
    <row r="682" spans="3:10">
      <c r="C682" s="8"/>
      <c r="H682" s="2" t="str">
        <f>IF(G682="","",VLOOKUP(G682,业务功能_系统接口!B275:$H$1416,2,FALSE))</f>
        <v/>
      </c>
      <c r="I682" s="2" t="str">
        <f>IF(G682="","",VLOOKUP(G682,业务功能_系统接口!B275:$H$1416,3,FALSE))</f>
        <v/>
      </c>
      <c r="J682" s="2" t="str">
        <f>IF(G682="","",VLOOKUP(G682,业务功能_系统接口!B275:$H$1416,4,FALSE))</f>
        <v/>
      </c>
    </row>
    <row r="683" spans="3:10">
      <c r="C683" s="8"/>
      <c r="H683" s="2" t="str">
        <f>IF(G683="","",VLOOKUP(G683,业务功能_系统接口!B276:$H$1416,2,FALSE))</f>
        <v/>
      </c>
      <c r="I683" s="2" t="str">
        <f>IF(G683="","",VLOOKUP(G683,业务功能_系统接口!B276:$H$1416,3,FALSE))</f>
        <v/>
      </c>
      <c r="J683" s="2" t="str">
        <f>IF(G683="","",VLOOKUP(G683,业务功能_系统接口!B276:$H$1416,4,FALSE))</f>
        <v/>
      </c>
    </row>
    <row r="684" spans="3:10">
      <c r="C684" s="8"/>
      <c r="H684" s="2" t="str">
        <f>IF(G684="","",VLOOKUP(G684,业务功能_系统接口!B277:$H$1416,2,FALSE))</f>
        <v/>
      </c>
      <c r="I684" s="2" t="str">
        <f>IF(G684="","",VLOOKUP(G684,业务功能_系统接口!B277:$H$1416,3,FALSE))</f>
        <v/>
      </c>
      <c r="J684" s="2" t="str">
        <f>IF(G684="","",VLOOKUP(G684,业务功能_系统接口!B277:$H$1416,4,FALSE))</f>
        <v/>
      </c>
    </row>
    <row r="685" spans="3:10">
      <c r="C685" s="8"/>
      <c r="H685" s="2" t="str">
        <f>IF(G685="","",VLOOKUP(G685,业务功能_系统接口!B278:$H$1416,2,FALSE))</f>
        <v/>
      </c>
      <c r="I685" s="2" t="str">
        <f>IF(G685="","",VLOOKUP(G685,业务功能_系统接口!B278:$H$1416,3,FALSE))</f>
        <v/>
      </c>
      <c r="J685" s="2" t="str">
        <f>IF(G685="","",VLOOKUP(G685,业务功能_系统接口!B278:$H$1416,4,FALSE))</f>
        <v/>
      </c>
    </row>
    <row r="686" spans="3:10">
      <c r="C686" s="8"/>
      <c r="H686" s="2" t="str">
        <f>IF(G686="","",VLOOKUP(G686,业务功能_系统接口!B279:$H$1416,2,FALSE))</f>
        <v/>
      </c>
      <c r="I686" s="2" t="str">
        <f>IF(G686="","",VLOOKUP(G686,业务功能_系统接口!B279:$H$1416,3,FALSE))</f>
        <v/>
      </c>
      <c r="J686" s="2" t="str">
        <f>IF(G686="","",VLOOKUP(G686,业务功能_系统接口!B279:$H$1416,4,FALSE))</f>
        <v/>
      </c>
    </row>
    <row r="687" spans="3:10">
      <c r="C687" s="8"/>
      <c r="H687" s="2" t="str">
        <f>IF(G687="","",VLOOKUP(G687,业务功能_系统接口!B280:$H$1416,2,FALSE))</f>
        <v/>
      </c>
      <c r="I687" s="2" t="str">
        <f>IF(G687="","",VLOOKUP(G687,业务功能_系统接口!B280:$H$1416,3,FALSE))</f>
        <v/>
      </c>
      <c r="J687" s="2" t="str">
        <f>IF(G687="","",VLOOKUP(G687,业务功能_系统接口!B280:$H$1416,4,FALSE))</f>
        <v/>
      </c>
    </row>
    <row r="688" spans="3:10">
      <c r="C688" s="8"/>
      <c r="H688" s="2" t="str">
        <f>IF(G688="","",VLOOKUP(G688,业务功能_系统接口!B281:$H$1416,2,FALSE))</f>
        <v/>
      </c>
      <c r="I688" s="2" t="str">
        <f>IF(G688="","",VLOOKUP(G688,业务功能_系统接口!B281:$H$1416,3,FALSE))</f>
        <v/>
      </c>
      <c r="J688" s="2" t="str">
        <f>IF(G688="","",VLOOKUP(G688,业务功能_系统接口!B281:$H$1416,4,FALSE))</f>
        <v/>
      </c>
    </row>
    <row r="689" spans="3:10">
      <c r="C689" s="8"/>
      <c r="H689" s="2" t="str">
        <f>IF(G689="","",VLOOKUP(G689,业务功能_系统接口!B282:$H$1416,2,FALSE))</f>
        <v/>
      </c>
      <c r="I689" s="2" t="str">
        <f>IF(G689="","",VLOOKUP(G689,业务功能_系统接口!B282:$H$1416,3,FALSE))</f>
        <v/>
      </c>
      <c r="J689" s="2" t="str">
        <f>IF(G689="","",VLOOKUP(G689,业务功能_系统接口!B282:$H$1416,4,FALSE))</f>
        <v/>
      </c>
    </row>
    <row r="690" spans="3:10">
      <c r="C690" s="8"/>
      <c r="H690" s="2" t="str">
        <f>IF(G690="","",VLOOKUP(G690,业务功能_系统接口!B283:$H$1416,2,FALSE))</f>
        <v/>
      </c>
      <c r="I690" s="2" t="str">
        <f>IF(G690="","",VLOOKUP(G690,业务功能_系统接口!B283:$H$1416,3,FALSE))</f>
        <v/>
      </c>
      <c r="J690" s="2" t="str">
        <f>IF(G690="","",VLOOKUP(G690,业务功能_系统接口!B283:$H$1416,4,FALSE))</f>
        <v/>
      </c>
    </row>
    <row r="691" spans="3:10">
      <c r="C691" s="8"/>
      <c r="H691" s="2" t="str">
        <f>IF(G691="","",VLOOKUP(G691,业务功能_系统接口!B284:$H$1416,2,FALSE))</f>
        <v/>
      </c>
      <c r="I691" s="2" t="str">
        <f>IF(G691="","",VLOOKUP(G691,业务功能_系统接口!B284:$H$1416,3,FALSE))</f>
        <v/>
      </c>
      <c r="J691" s="2" t="str">
        <f>IF(G691="","",VLOOKUP(G691,业务功能_系统接口!B284:$H$1416,4,FALSE))</f>
        <v/>
      </c>
    </row>
    <row r="692" spans="3:10">
      <c r="C692" s="8"/>
      <c r="H692" s="2" t="str">
        <f>IF(G692="","",VLOOKUP(G692,业务功能_系统接口!B285:$H$1416,2,FALSE))</f>
        <v/>
      </c>
      <c r="I692" s="2" t="str">
        <f>IF(G692="","",VLOOKUP(G692,业务功能_系统接口!B285:$H$1416,3,FALSE))</f>
        <v/>
      </c>
      <c r="J692" s="2" t="str">
        <f>IF(G692="","",VLOOKUP(G692,业务功能_系统接口!B285:$H$1416,4,FALSE))</f>
        <v/>
      </c>
    </row>
    <row r="693" spans="3:10">
      <c r="C693" s="8"/>
      <c r="H693" s="2" t="str">
        <f>IF(G693="","",VLOOKUP(G693,业务功能_系统接口!B286:$H$1416,2,FALSE))</f>
        <v/>
      </c>
      <c r="I693" s="2" t="str">
        <f>IF(G693="","",VLOOKUP(G693,业务功能_系统接口!B286:$H$1416,3,FALSE))</f>
        <v/>
      </c>
      <c r="J693" s="2" t="str">
        <f>IF(G693="","",VLOOKUP(G693,业务功能_系统接口!B286:$H$1416,4,FALSE))</f>
        <v/>
      </c>
    </row>
    <row r="694" spans="3:10">
      <c r="C694" s="8"/>
      <c r="H694" s="2" t="str">
        <f>IF(G694="","",VLOOKUP(G694,业务功能_系统接口!B287:$H$1416,2,FALSE))</f>
        <v/>
      </c>
      <c r="I694" s="2" t="str">
        <f>IF(G694="","",VLOOKUP(G694,业务功能_系统接口!B287:$H$1416,3,FALSE))</f>
        <v/>
      </c>
      <c r="J694" s="2" t="str">
        <f>IF(G694="","",VLOOKUP(G694,业务功能_系统接口!B287:$H$1416,4,FALSE))</f>
        <v/>
      </c>
    </row>
    <row r="695" spans="3:10">
      <c r="C695" s="8"/>
      <c r="H695" s="2" t="str">
        <f>IF(G695="","",VLOOKUP(G695,业务功能_系统接口!B288:$H$1416,2,FALSE))</f>
        <v/>
      </c>
      <c r="I695" s="2" t="str">
        <f>IF(G695="","",VLOOKUP(G695,业务功能_系统接口!B288:$H$1416,3,FALSE))</f>
        <v/>
      </c>
      <c r="J695" s="2" t="str">
        <f>IF(G695="","",VLOOKUP(G695,业务功能_系统接口!B288:$H$1416,4,FALSE))</f>
        <v/>
      </c>
    </row>
    <row r="696" spans="3:10">
      <c r="C696" s="8"/>
      <c r="H696" s="2" t="str">
        <f>IF(G696="","",VLOOKUP(G696,业务功能_系统接口!B289:$H$1416,2,FALSE))</f>
        <v/>
      </c>
      <c r="I696" s="2" t="str">
        <f>IF(G696="","",VLOOKUP(G696,业务功能_系统接口!B289:$H$1416,3,FALSE))</f>
        <v/>
      </c>
      <c r="J696" s="2" t="str">
        <f>IF(G696="","",VLOOKUP(G696,业务功能_系统接口!B289:$H$1416,4,FALSE))</f>
        <v/>
      </c>
    </row>
    <row r="697" spans="3:10">
      <c r="C697" s="8"/>
      <c r="H697" s="2" t="str">
        <f>IF(G697="","",VLOOKUP(G697,业务功能_系统接口!B290:$H$1416,2,FALSE))</f>
        <v/>
      </c>
      <c r="I697" s="2" t="str">
        <f>IF(G697="","",VLOOKUP(G697,业务功能_系统接口!B290:$H$1416,3,FALSE))</f>
        <v/>
      </c>
      <c r="J697" s="2" t="str">
        <f>IF(G697="","",VLOOKUP(G697,业务功能_系统接口!B290:$H$1416,4,FALSE))</f>
        <v/>
      </c>
    </row>
    <row r="698" spans="3:10">
      <c r="C698" s="8"/>
      <c r="H698" s="2" t="str">
        <f>IF(G698="","",VLOOKUP(G698,业务功能_系统接口!B291:$H$1416,2,FALSE))</f>
        <v/>
      </c>
      <c r="I698" s="2" t="str">
        <f>IF(G698="","",VLOOKUP(G698,业务功能_系统接口!B291:$H$1416,3,FALSE))</f>
        <v/>
      </c>
      <c r="J698" s="2" t="str">
        <f>IF(G698="","",VLOOKUP(G698,业务功能_系统接口!B291:$H$1416,4,FALSE))</f>
        <v/>
      </c>
    </row>
    <row r="699" spans="3:10">
      <c r="C699" s="8"/>
      <c r="H699" s="2" t="str">
        <f>IF(G699="","",VLOOKUP(G699,业务功能_系统接口!B292:$H$1416,2,FALSE))</f>
        <v/>
      </c>
      <c r="I699" s="2" t="str">
        <f>IF(G699="","",VLOOKUP(G699,业务功能_系统接口!B292:$H$1416,3,FALSE))</f>
        <v/>
      </c>
      <c r="J699" s="2" t="str">
        <f>IF(G699="","",VLOOKUP(G699,业务功能_系统接口!B292:$H$1416,4,FALSE))</f>
        <v/>
      </c>
    </row>
    <row r="700" spans="3:10">
      <c r="C700" s="8"/>
      <c r="H700" s="2" t="str">
        <f>IF(G700="","",VLOOKUP(G700,业务功能_系统接口!B293:$H$1416,2,FALSE))</f>
        <v/>
      </c>
      <c r="I700" s="2" t="str">
        <f>IF(G700="","",VLOOKUP(G700,业务功能_系统接口!B293:$H$1416,3,FALSE))</f>
        <v/>
      </c>
      <c r="J700" s="2" t="str">
        <f>IF(G700="","",VLOOKUP(G700,业务功能_系统接口!B293:$H$1416,4,FALSE))</f>
        <v/>
      </c>
    </row>
    <row r="701" spans="3:10">
      <c r="C701" s="8"/>
      <c r="H701" s="2" t="str">
        <f>IF(G701="","",VLOOKUP(G701,业务功能_系统接口!B294:$H$1416,2,FALSE))</f>
        <v/>
      </c>
      <c r="I701" s="2" t="str">
        <f>IF(G701="","",VLOOKUP(G701,业务功能_系统接口!B294:$H$1416,3,FALSE))</f>
        <v/>
      </c>
      <c r="J701" s="2" t="str">
        <f>IF(G701="","",VLOOKUP(G701,业务功能_系统接口!B294:$H$1416,4,FALSE))</f>
        <v/>
      </c>
    </row>
    <row r="702" spans="3:10">
      <c r="C702" s="8"/>
      <c r="H702" s="2" t="str">
        <f>IF(G702="","",VLOOKUP(G702,业务功能_系统接口!B295:$H$1416,2,FALSE))</f>
        <v/>
      </c>
      <c r="I702" s="2" t="str">
        <f>IF(G702="","",VLOOKUP(G702,业务功能_系统接口!B295:$H$1416,3,FALSE))</f>
        <v/>
      </c>
      <c r="J702" s="2" t="str">
        <f>IF(G702="","",VLOOKUP(G702,业务功能_系统接口!B295:$H$1416,4,FALSE))</f>
        <v/>
      </c>
    </row>
    <row r="703" spans="3:10">
      <c r="C703" s="8"/>
      <c r="H703" s="2" t="str">
        <f>IF(G703="","",VLOOKUP(G703,业务功能_系统接口!B296:$H$1416,2,FALSE))</f>
        <v/>
      </c>
      <c r="I703" s="2" t="str">
        <f>IF(G703="","",VLOOKUP(G703,业务功能_系统接口!B296:$H$1416,3,FALSE))</f>
        <v/>
      </c>
      <c r="J703" s="2" t="str">
        <f>IF(G703="","",VLOOKUP(G703,业务功能_系统接口!B296:$H$1416,4,FALSE))</f>
        <v/>
      </c>
    </row>
    <row r="704" spans="3:10">
      <c r="C704" s="8"/>
      <c r="H704" s="2" t="str">
        <f>IF(G704="","",VLOOKUP(G704,业务功能_系统接口!B297:$H$1416,2,FALSE))</f>
        <v/>
      </c>
      <c r="I704" s="2" t="str">
        <f>IF(G704="","",VLOOKUP(G704,业务功能_系统接口!B297:$H$1416,3,FALSE))</f>
        <v/>
      </c>
      <c r="J704" s="2" t="str">
        <f>IF(G704="","",VLOOKUP(G704,业务功能_系统接口!B297:$H$1416,4,FALSE))</f>
        <v/>
      </c>
    </row>
    <row r="705" spans="3:10">
      <c r="C705" s="8"/>
      <c r="H705" s="2" t="str">
        <f>IF(G705="","",VLOOKUP(G705,业务功能_系统接口!B298:$H$1416,2,FALSE))</f>
        <v/>
      </c>
      <c r="I705" s="2" t="str">
        <f>IF(G705="","",VLOOKUP(G705,业务功能_系统接口!B298:$H$1416,3,FALSE))</f>
        <v/>
      </c>
      <c r="J705" s="2" t="str">
        <f>IF(G705="","",VLOOKUP(G705,业务功能_系统接口!B298:$H$1416,4,FALSE))</f>
        <v/>
      </c>
    </row>
    <row r="706" spans="3:10">
      <c r="C706" s="8"/>
      <c r="H706" s="2" t="str">
        <f>IF(G706="","",VLOOKUP(G706,业务功能_系统接口!B299:$H$1416,2,FALSE))</f>
        <v/>
      </c>
      <c r="I706" s="2" t="str">
        <f>IF(G706="","",VLOOKUP(G706,业务功能_系统接口!B299:$H$1416,3,FALSE))</f>
        <v/>
      </c>
      <c r="J706" s="2" t="str">
        <f>IF(G706="","",VLOOKUP(G706,业务功能_系统接口!B299:$H$1416,4,FALSE))</f>
        <v/>
      </c>
    </row>
    <row r="707" spans="3:10">
      <c r="C707" s="8"/>
      <c r="H707" s="2" t="str">
        <f>IF(G707="","",VLOOKUP(G707,业务功能_系统接口!B300:$H$1416,2,FALSE))</f>
        <v/>
      </c>
      <c r="I707" s="2" t="str">
        <f>IF(G707="","",VLOOKUP(G707,业务功能_系统接口!B300:$H$1416,3,FALSE))</f>
        <v/>
      </c>
      <c r="J707" s="2" t="str">
        <f>IF(G707="","",VLOOKUP(G707,业务功能_系统接口!B300:$H$1416,4,FALSE))</f>
        <v/>
      </c>
    </row>
    <row r="708" spans="3:10">
      <c r="C708" s="8"/>
      <c r="H708" s="2" t="str">
        <f>IF(G708="","",VLOOKUP(G708,业务功能_系统接口!B301:$H$1416,2,FALSE))</f>
        <v/>
      </c>
      <c r="I708" s="2" t="str">
        <f>IF(G708="","",VLOOKUP(G708,业务功能_系统接口!B301:$H$1416,3,FALSE))</f>
        <v/>
      </c>
      <c r="J708" s="2" t="str">
        <f>IF(G708="","",VLOOKUP(G708,业务功能_系统接口!B301:$H$1416,4,FALSE))</f>
        <v/>
      </c>
    </row>
    <row r="709" spans="3:10">
      <c r="C709" s="8"/>
      <c r="H709" s="2" t="str">
        <f>IF(G709="","",VLOOKUP(G709,业务功能_系统接口!B302:$H$1416,2,FALSE))</f>
        <v/>
      </c>
      <c r="I709" s="2" t="str">
        <f>IF(G709="","",VLOOKUP(G709,业务功能_系统接口!B302:$H$1416,3,FALSE))</f>
        <v/>
      </c>
      <c r="J709" s="2" t="str">
        <f>IF(G709="","",VLOOKUP(G709,业务功能_系统接口!B302:$H$1416,4,FALSE))</f>
        <v/>
      </c>
    </row>
    <row r="710" spans="3:10">
      <c r="C710" s="8"/>
      <c r="H710" s="2" t="str">
        <f>IF(G710="","",VLOOKUP(G710,业务功能_系统接口!B303:$H$1416,2,FALSE))</f>
        <v/>
      </c>
      <c r="I710" s="2" t="str">
        <f>IF(G710="","",VLOOKUP(G710,业务功能_系统接口!B303:$H$1416,3,FALSE))</f>
        <v/>
      </c>
      <c r="J710" s="2" t="str">
        <f>IF(G710="","",VLOOKUP(G710,业务功能_系统接口!B303:$H$1416,4,FALSE))</f>
        <v/>
      </c>
    </row>
    <row r="711" spans="3:10">
      <c r="C711" s="8"/>
      <c r="H711" s="2" t="str">
        <f>IF(G711="","",VLOOKUP(G711,业务功能_系统接口!B304:$H$1416,2,FALSE))</f>
        <v/>
      </c>
      <c r="I711" s="2" t="str">
        <f>IF(G711="","",VLOOKUP(G711,业务功能_系统接口!B304:$H$1416,3,FALSE))</f>
        <v/>
      </c>
      <c r="J711" s="2" t="str">
        <f>IF(G711="","",VLOOKUP(G711,业务功能_系统接口!B304:$H$1416,4,FALSE))</f>
        <v/>
      </c>
    </row>
    <row r="712" spans="3:10">
      <c r="C712" s="8"/>
      <c r="H712" s="2" t="str">
        <f>IF(G712="","",VLOOKUP(G712,业务功能_系统接口!B305:$H$1416,2,FALSE))</f>
        <v/>
      </c>
      <c r="I712" s="2" t="str">
        <f>IF(G712="","",VLOOKUP(G712,业务功能_系统接口!B305:$H$1416,3,FALSE))</f>
        <v/>
      </c>
      <c r="J712" s="2" t="str">
        <f>IF(G712="","",VLOOKUP(G712,业务功能_系统接口!B305:$H$1416,4,FALSE))</f>
        <v/>
      </c>
    </row>
    <row r="713" spans="3:10">
      <c r="C713" s="8"/>
      <c r="H713" s="2" t="str">
        <f>IF(G713="","",VLOOKUP(G713,业务功能_系统接口!B306:$H$1416,2,FALSE))</f>
        <v/>
      </c>
      <c r="I713" s="2" t="str">
        <f>IF(G713="","",VLOOKUP(G713,业务功能_系统接口!B306:$H$1416,3,FALSE))</f>
        <v/>
      </c>
      <c r="J713" s="2" t="str">
        <f>IF(G713="","",VLOOKUP(G713,业务功能_系统接口!B306:$H$1416,4,FALSE))</f>
        <v/>
      </c>
    </row>
    <row r="714" spans="3:10">
      <c r="C714" s="8"/>
      <c r="H714" s="2" t="str">
        <f>IF(G714="","",VLOOKUP(G714,业务功能_系统接口!B307:$H$1416,2,FALSE))</f>
        <v/>
      </c>
      <c r="I714" s="2" t="str">
        <f>IF(G714="","",VLOOKUP(G714,业务功能_系统接口!B307:$H$1416,3,FALSE))</f>
        <v/>
      </c>
      <c r="J714" s="2" t="str">
        <f>IF(G714="","",VLOOKUP(G714,业务功能_系统接口!B307:$H$1416,4,FALSE))</f>
        <v/>
      </c>
    </row>
    <row r="715" spans="3:10">
      <c r="C715" s="8"/>
      <c r="H715" s="2" t="str">
        <f>IF(G715="","",VLOOKUP(G715,业务功能_系统接口!B308:$H$1416,2,FALSE))</f>
        <v/>
      </c>
      <c r="I715" s="2" t="str">
        <f>IF(G715="","",VLOOKUP(G715,业务功能_系统接口!B308:$H$1416,3,FALSE))</f>
        <v/>
      </c>
      <c r="J715" s="2" t="str">
        <f>IF(G715="","",VLOOKUP(G715,业务功能_系统接口!B308:$H$1416,4,FALSE))</f>
        <v/>
      </c>
    </row>
    <row r="716" spans="3:10">
      <c r="C716" s="8"/>
      <c r="H716" s="2" t="str">
        <f>IF(G716="","",VLOOKUP(G716,业务功能_系统接口!B309:$H$1416,2,FALSE))</f>
        <v/>
      </c>
      <c r="I716" s="2" t="str">
        <f>IF(G716="","",VLOOKUP(G716,业务功能_系统接口!B309:$H$1416,3,FALSE))</f>
        <v/>
      </c>
      <c r="J716" s="2" t="str">
        <f>IF(G716="","",VLOOKUP(G716,业务功能_系统接口!B309:$H$1416,4,FALSE))</f>
        <v/>
      </c>
    </row>
    <row r="717" spans="3:10">
      <c r="C717" s="8"/>
      <c r="H717" s="2" t="str">
        <f>IF(G717="","",VLOOKUP(G717,业务功能_系统接口!B310:$H$1416,2,FALSE))</f>
        <v/>
      </c>
      <c r="I717" s="2" t="str">
        <f>IF(G717="","",VLOOKUP(G717,业务功能_系统接口!B310:$H$1416,3,FALSE))</f>
        <v/>
      </c>
      <c r="J717" s="2" t="str">
        <f>IF(G717="","",VLOOKUP(G717,业务功能_系统接口!B310:$H$1416,4,FALSE))</f>
        <v/>
      </c>
    </row>
    <row r="718" spans="3:10">
      <c r="C718" s="8"/>
      <c r="H718" s="2" t="str">
        <f>IF(G718="","",VLOOKUP(G718,业务功能_系统接口!B311:$H$1416,2,FALSE))</f>
        <v/>
      </c>
      <c r="I718" s="2" t="str">
        <f>IF(G718="","",VLOOKUP(G718,业务功能_系统接口!B311:$H$1416,3,FALSE))</f>
        <v/>
      </c>
      <c r="J718" s="2" t="str">
        <f>IF(G718="","",VLOOKUP(G718,业务功能_系统接口!B311:$H$1416,4,FALSE))</f>
        <v/>
      </c>
    </row>
    <row r="719" spans="3:10">
      <c r="C719" s="8"/>
      <c r="H719" s="2" t="str">
        <f>IF(G719="","",VLOOKUP(G719,业务功能_系统接口!B312:$H$1416,2,FALSE))</f>
        <v/>
      </c>
      <c r="I719" s="2" t="str">
        <f>IF(G719="","",VLOOKUP(G719,业务功能_系统接口!B312:$H$1416,3,FALSE))</f>
        <v/>
      </c>
      <c r="J719" s="2" t="str">
        <f>IF(G719="","",VLOOKUP(G719,业务功能_系统接口!B312:$H$1416,4,FALSE))</f>
        <v/>
      </c>
    </row>
    <row r="720" spans="3:10">
      <c r="C720" s="8"/>
      <c r="H720" s="2" t="str">
        <f>IF(G720="","",VLOOKUP(G720,业务功能_系统接口!B313:$H$1416,2,FALSE))</f>
        <v/>
      </c>
      <c r="I720" s="2" t="str">
        <f>IF(G720="","",VLOOKUP(G720,业务功能_系统接口!B313:$H$1416,3,FALSE))</f>
        <v/>
      </c>
      <c r="J720" s="2" t="str">
        <f>IF(G720="","",VLOOKUP(G720,业务功能_系统接口!B313:$H$1416,4,FALSE))</f>
        <v/>
      </c>
    </row>
    <row r="721" spans="3:10">
      <c r="C721" s="8"/>
      <c r="H721" s="2" t="str">
        <f>IF(G721="","",VLOOKUP(G721,业务功能_系统接口!B314:$H$1416,2,FALSE))</f>
        <v/>
      </c>
      <c r="I721" s="2" t="str">
        <f>IF(G721="","",VLOOKUP(G721,业务功能_系统接口!B314:$H$1416,3,FALSE))</f>
        <v/>
      </c>
      <c r="J721" s="2" t="str">
        <f>IF(G721="","",VLOOKUP(G721,业务功能_系统接口!B314:$H$1416,4,FALSE))</f>
        <v/>
      </c>
    </row>
    <row r="722" spans="3:10">
      <c r="C722" s="8"/>
      <c r="H722" s="2" t="str">
        <f>IF(G722="","",VLOOKUP(G722,业务功能_系统接口!B315:$H$1416,2,FALSE))</f>
        <v/>
      </c>
      <c r="I722" s="2" t="str">
        <f>IF(G722="","",VLOOKUP(G722,业务功能_系统接口!B315:$H$1416,3,FALSE))</f>
        <v/>
      </c>
      <c r="J722" s="2" t="str">
        <f>IF(G722="","",VLOOKUP(G722,业务功能_系统接口!B315:$H$1416,4,FALSE))</f>
        <v/>
      </c>
    </row>
    <row r="723" spans="3:10">
      <c r="C723" s="8"/>
      <c r="H723" s="2" t="str">
        <f>IF(G723="","",VLOOKUP(G723,业务功能_系统接口!B316:$H$1416,2,FALSE))</f>
        <v/>
      </c>
      <c r="I723" s="2" t="str">
        <f>IF(G723="","",VLOOKUP(G723,业务功能_系统接口!B316:$H$1416,3,FALSE))</f>
        <v/>
      </c>
      <c r="J723" s="2" t="str">
        <f>IF(G723="","",VLOOKUP(G723,业务功能_系统接口!B316:$H$1416,4,FALSE))</f>
        <v/>
      </c>
    </row>
    <row r="724" spans="3:10">
      <c r="C724" s="8"/>
      <c r="H724" s="2" t="str">
        <f>IF(G724="","",VLOOKUP(G724,业务功能_系统接口!B317:$H$1416,2,FALSE))</f>
        <v/>
      </c>
      <c r="I724" s="2" t="str">
        <f>IF(G724="","",VLOOKUP(G724,业务功能_系统接口!B317:$H$1416,3,FALSE))</f>
        <v/>
      </c>
      <c r="J724" s="2" t="str">
        <f>IF(G724="","",VLOOKUP(G724,业务功能_系统接口!B317:$H$1416,4,FALSE))</f>
        <v/>
      </c>
    </row>
    <row r="725" spans="3:10">
      <c r="C725" s="8"/>
      <c r="H725" s="2" t="str">
        <f>IF(G725="","",VLOOKUP(G725,业务功能_系统接口!B318:$H$1416,2,FALSE))</f>
        <v/>
      </c>
      <c r="I725" s="2" t="str">
        <f>IF(G725="","",VLOOKUP(G725,业务功能_系统接口!B318:$H$1416,3,FALSE))</f>
        <v/>
      </c>
      <c r="J725" s="2" t="str">
        <f>IF(G725="","",VLOOKUP(G725,业务功能_系统接口!B318:$H$1416,4,FALSE))</f>
        <v/>
      </c>
    </row>
    <row r="726" spans="3:10">
      <c r="C726" s="8"/>
      <c r="H726" s="2" t="str">
        <f>IF(G726="","",VLOOKUP(G726,业务功能_系统接口!B319:$H$1416,2,FALSE))</f>
        <v/>
      </c>
      <c r="I726" s="2" t="str">
        <f>IF(G726="","",VLOOKUP(G726,业务功能_系统接口!B319:$H$1416,3,FALSE))</f>
        <v/>
      </c>
      <c r="J726" s="2" t="str">
        <f>IF(G726="","",VLOOKUP(G726,业务功能_系统接口!B319:$H$1416,4,FALSE))</f>
        <v/>
      </c>
    </row>
    <row r="727" spans="3:10">
      <c r="C727" s="8"/>
      <c r="H727" s="2" t="str">
        <f>IF(G727="","",VLOOKUP(G727,业务功能_系统接口!B320:$H$1416,2,FALSE))</f>
        <v/>
      </c>
      <c r="I727" s="2" t="str">
        <f>IF(G727="","",VLOOKUP(G727,业务功能_系统接口!B320:$H$1416,3,FALSE))</f>
        <v/>
      </c>
      <c r="J727" s="2" t="str">
        <f>IF(G727="","",VLOOKUP(G727,业务功能_系统接口!B320:$H$1416,4,FALSE))</f>
        <v/>
      </c>
    </row>
    <row r="728" spans="3:10">
      <c r="C728" s="8"/>
      <c r="H728" s="2" t="str">
        <f>IF(G728="","",VLOOKUP(G728,业务功能_系统接口!B321:$H$1416,2,FALSE))</f>
        <v/>
      </c>
      <c r="I728" s="2" t="str">
        <f>IF(G728="","",VLOOKUP(G728,业务功能_系统接口!B321:$H$1416,3,FALSE))</f>
        <v/>
      </c>
      <c r="J728" s="2" t="str">
        <f>IF(G728="","",VLOOKUP(G728,业务功能_系统接口!B321:$H$1416,4,FALSE))</f>
        <v/>
      </c>
    </row>
    <row r="729" spans="3:10">
      <c r="C729" s="8"/>
      <c r="H729" s="2" t="str">
        <f>IF(G729="","",VLOOKUP(G729,业务功能_系统接口!B322:$H$1416,2,FALSE))</f>
        <v/>
      </c>
      <c r="I729" s="2" t="str">
        <f>IF(G729="","",VLOOKUP(G729,业务功能_系统接口!B322:$H$1416,3,FALSE))</f>
        <v/>
      </c>
      <c r="J729" s="2" t="str">
        <f>IF(G729="","",VLOOKUP(G729,业务功能_系统接口!B322:$H$1416,4,FALSE))</f>
        <v/>
      </c>
    </row>
    <row r="730" spans="3:10">
      <c r="C730" s="8"/>
      <c r="H730" s="2" t="str">
        <f>IF(G730="","",VLOOKUP(G730,业务功能_系统接口!B323:$H$1416,2,FALSE))</f>
        <v/>
      </c>
      <c r="I730" s="2" t="str">
        <f>IF(G730="","",VLOOKUP(G730,业务功能_系统接口!B323:$H$1416,3,FALSE))</f>
        <v/>
      </c>
      <c r="J730" s="2" t="str">
        <f>IF(G730="","",VLOOKUP(G730,业务功能_系统接口!B323:$H$1416,4,FALSE))</f>
        <v/>
      </c>
    </row>
    <row r="731" spans="3:10">
      <c r="C731" s="8"/>
      <c r="H731" s="2" t="str">
        <f>IF(G731="","",VLOOKUP(G731,业务功能_系统接口!B324:$H$1416,2,FALSE))</f>
        <v/>
      </c>
      <c r="I731" s="2" t="str">
        <f>IF(G731="","",VLOOKUP(G731,业务功能_系统接口!B324:$H$1416,3,FALSE))</f>
        <v/>
      </c>
      <c r="J731" s="2" t="str">
        <f>IF(G731="","",VLOOKUP(G731,业务功能_系统接口!B324:$H$1416,4,FALSE))</f>
        <v/>
      </c>
    </row>
    <row r="732" spans="3:10">
      <c r="C732" s="8"/>
      <c r="H732" s="2" t="str">
        <f>IF(G732="","",VLOOKUP(G732,业务功能_系统接口!B325:$H$1416,2,FALSE))</f>
        <v/>
      </c>
      <c r="I732" s="2" t="str">
        <f>IF(G732="","",VLOOKUP(G732,业务功能_系统接口!B325:$H$1416,3,FALSE))</f>
        <v/>
      </c>
      <c r="J732" s="2" t="str">
        <f>IF(G732="","",VLOOKUP(G732,业务功能_系统接口!B325:$H$1416,4,FALSE))</f>
        <v/>
      </c>
    </row>
    <row r="733" spans="3:10">
      <c r="C733" s="8"/>
      <c r="H733" s="2" t="str">
        <f>IF(G733="","",VLOOKUP(G733,业务功能_系统接口!B326:$H$1416,2,FALSE))</f>
        <v/>
      </c>
      <c r="I733" s="2" t="str">
        <f>IF(G733="","",VLOOKUP(G733,业务功能_系统接口!B326:$H$1416,3,FALSE))</f>
        <v/>
      </c>
      <c r="J733" s="2" t="str">
        <f>IF(G733="","",VLOOKUP(G733,业务功能_系统接口!B326:$H$1416,4,FALSE))</f>
        <v/>
      </c>
    </row>
    <row r="734" spans="3:10">
      <c r="C734" s="8"/>
      <c r="H734" s="2" t="str">
        <f>IF(G734="","",VLOOKUP(G734,业务功能_系统接口!B327:$H$1416,2,FALSE))</f>
        <v/>
      </c>
      <c r="I734" s="2" t="str">
        <f>IF(G734="","",VLOOKUP(G734,业务功能_系统接口!B327:$H$1416,3,FALSE))</f>
        <v/>
      </c>
      <c r="J734" s="2" t="str">
        <f>IF(G734="","",VLOOKUP(G734,业务功能_系统接口!B327:$H$1416,4,FALSE))</f>
        <v/>
      </c>
    </row>
    <row r="735" spans="3:10">
      <c r="C735" s="8"/>
      <c r="H735" s="2" t="str">
        <f>IF(G735="","",VLOOKUP(G735,业务功能_系统接口!B328:$H$1416,2,FALSE))</f>
        <v/>
      </c>
      <c r="I735" s="2" t="str">
        <f>IF(G735="","",VLOOKUP(G735,业务功能_系统接口!B328:$H$1416,3,FALSE))</f>
        <v/>
      </c>
      <c r="J735" s="2" t="str">
        <f>IF(G735="","",VLOOKUP(G735,业务功能_系统接口!B328:$H$1416,4,FALSE))</f>
        <v/>
      </c>
    </row>
    <row r="736" spans="3:10">
      <c r="C736" s="8"/>
      <c r="H736" s="2" t="str">
        <f>IF(G736="","",VLOOKUP(G736,业务功能_系统接口!B329:$H$1416,2,FALSE))</f>
        <v/>
      </c>
      <c r="I736" s="2" t="str">
        <f>IF(G736="","",VLOOKUP(G736,业务功能_系统接口!B329:$H$1416,3,FALSE))</f>
        <v/>
      </c>
      <c r="J736" s="2" t="str">
        <f>IF(G736="","",VLOOKUP(G736,业务功能_系统接口!B329:$H$1416,4,FALSE))</f>
        <v/>
      </c>
    </row>
    <row r="737" spans="3:10">
      <c r="C737" s="8"/>
      <c r="H737" s="2" t="str">
        <f>IF(G737="","",VLOOKUP(G737,业务功能_系统接口!B330:$H$1416,2,FALSE))</f>
        <v/>
      </c>
      <c r="I737" s="2" t="str">
        <f>IF(G737="","",VLOOKUP(G737,业务功能_系统接口!B330:$H$1416,3,FALSE))</f>
        <v/>
      </c>
      <c r="J737" s="2" t="str">
        <f>IF(G737="","",VLOOKUP(G737,业务功能_系统接口!B330:$H$1416,4,FALSE))</f>
        <v/>
      </c>
    </row>
    <row r="738" spans="3:10">
      <c r="C738" s="8"/>
      <c r="H738" s="2" t="str">
        <f>IF(G738="","",VLOOKUP(G738,业务功能_系统接口!B331:$H$1416,2,FALSE))</f>
        <v/>
      </c>
      <c r="I738" s="2" t="str">
        <f>IF(G738="","",VLOOKUP(G738,业务功能_系统接口!B331:$H$1416,3,FALSE))</f>
        <v/>
      </c>
      <c r="J738" s="2" t="str">
        <f>IF(G738="","",VLOOKUP(G738,业务功能_系统接口!B331:$H$1416,4,FALSE))</f>
        <v/>
      </c>
    </row>
    <row r="739" spans="3:10">
      <c r="C739" s="8"/>
      <c r="H739" s="2" t="str">
        <f>IF(G739="","",VLOOKUP(G739,业务功能_系统接口!B332:$H$1416,2,FALSE))</f>
        <v/>
      </c>
      <c r="I739" s="2" t="str">
        <f>IF(G739="","",VLOOKUP(G739,业务功能_系统接口!B332:$H$1416,3,FALSE))</f>
        <v/>
      </c>
      <c r="J739" s="2" t="str">
        <f>IF(G739="","",VLOOKUP(G739,业务功能_系统接口!B332:$H$1416,4,FALSE))</f>
        <v/>
      </c>
    </row>
    <row r="740" spans="3:10">
      <c r="C740" s="8"/>
      <c r="H740" s="2" t="str">
        <f>IF(G740="","",VLOOKUP(G740,业务功能_系统接口!B333:$H$1416,2,FALSE))</f>
        <v/>
      </c>
      <c r="I740" s="2" t="str">
        <f>IF(G740="","",VLOOKUP(G740,业务功能_系统接口!B333:$H$1416,3,FALSE))</f>
        <v/>
      </c>
      <c r="J740" s="2" t="str">
        <f>IF(G740="","",VLOOKUP(G740,业务功能_系统接口!B333:$H$1416,4,FALSE))</f>
        <v/>
      </c>
    </row>
    <row r="741" spans="3:10">
      <c r="C741" s="8"/>
      <c r="H741" s="2" t="str">
        <f>IF(G741="","",VLOOKUP(G741,业务功能_系统接口!B334:$H$1416,2,FALSE))</f>
        <v/>
      </c>
      <c r="I741" s="2" t="str">
        <f>IF(G741="","",VLOOKUP(G741,业务功能_系统接口!B334:$H$1416,3,FALSE))</f>
        <v/>
      </c>
      <c r="J741" s="2" t="str">
        <f>IF(G741="","",VLOOKUP(G741,业务功能_系统接口!B334:$H$1416,4,FALSE))</f>
        <v/>
      </c>
    </row>
    <row r="742" spans="3:10">
      <c r="C742" s="8"/>
      <c r="H742" s="2" t="str">
        <f>IF(G742="","",VLOOKUP(G742,业务功能_系统接口!B335:$H$1416,2,FALSE))</f>
        <v/>
      </c>
      <c r="I742" s="2" t="str">
        <f>IF(G742="","",VLOOKUP(G742,业务功能_系统接口!B335:$H$1416,3,FALSE))</f>
        <v/>
      </c>
      <c r="J742" s="2" t="str">
        <f>IF(G742="","",VLOOKUP(G742,业务功能_系统接口!B335:$H$1416,4,FALSE))</f>
        <v/>
      </c>
    </row>
    <row r="743" spans="3:10">
      <c r="C743" s="8"/>
      <c r="H743" s="2" t="str">
        <f>IF(G743="","",VLOOKUP(G743,业务功能_系统接口!B336:$H$1416,2,FALSE))</f>
        <v/>
      </c>
      <c r="I743" s="2" t="str">
        <f>IF(G743="","",VLOOKUP(G743,业务功能_系统接口!B336:$H$1416,3,FALSE))</f>
        <v/>
      </c>
      <c r="J743" s="2" t="str">
        <f>IF(G743="","",VLOOKUP(G743,业务功能_系统接口!B336:$H$1416,4,FALSE))</f>
        <v/>
      </c>
    </row>
    <row r="744" spans="3:10">
      <c r="C744" s="8"/>
      <c r="H744" s="2" t="str">
        <f>IF(G744="","",VLOOKUP(G744,业务功能_系统接口!B337:$H$1416,2,FALSE))</f>
        <v/>
      </c>
      <c r="I744" s="2" t="str">
        <f>IF(G744="","",VLOOKUP(G744,业务功能_系统接口!B337:$H$1416,3,FALSE))</f>
        <v/>
      </c>
      <c r="J744" s="2" t="str">
        <f>IF(G744="","",VLOOKUP(G744,业务功能_系统接口!B337:$H$1416,4,FALSE))</f>
        <v/>
      </c>
    </row>
    <row r="745" spans="3:10">
      <c r="C745" s="8"/>
      <c r="H745" s="2" t="str">
        <f>IF(G745="","",VLOOKUP(G745,业务功能_系统接口!B338:$H$1416,2,FALSE))</f>
        <v/>
      </c>
      <c r="I745" s="2" t="str">
        <f>IF(G745="","",VLOOKUP(G745,业务功能_系统接口!B338:$H$1416,3,FALSE))</f>
        <v/>
      </c>
      <c r="J745" s="2" t="str">
        <f>IF(G745="","",VLOOKUP(G745,业务功能_系统接口!B338:$H$1416,4,FALSE))</f>
        <v/>
      </c>
    </row>
    <row r="746" spans="3:10">
      <c r="C746" s="8"/>
      <c r="H746" s="2" t="str">
        <f>IF(G746="","",VLOOKUP(G746,业务功能_系统接口!B339:$H$1416,2,FALSE))</f>
        <v/>
      </c>
      <c r="I746" s="2" t="str">
        <f>IF(G746="","",VLOOKUP(G746,业务功能_系统接口!B339:$H$1416,3,FALSE))</f>
        <v/>
      </c>
      <c r="J746" s="2" t="str">
        <f>IF(G746="","",VLOOKUP(G746,业务功能_系统接口!B339:$H$1416,4,FALSE))</f>
        <v/>
      </c>
    </row>
    <row r="747" spans="3:10">
      <c r="C747" s="8"/>
      <c r="H747" s="2" t="str">
        <f>IF(G747="","",VLOOKUP(G747,业务功能_系统接口!B340:$H$1416,2,FALSE))</f>
        <v/>
      </c>
      <c r="I747" s="2" t="str">
        <f>IF(G747="","",VLOOKUP(G747,业务功能_系统接口!B340:$H$1416,3,FALSE))</f>
        <v/>
      </c>
      <c r="J747" s="2" t="str">
        <f>IF(G747="","",VLOOKUP(G747,业务功能_系统接口!B340:$H$1416,4,FALSE))</f>
        <v/>
      </c>
    </row>
    <row r="748" spans="3:10">
      <c r="C748" s="8"/>
      <c r="H748" s="2" t="str">
        <f>IF(G748="","",VLOOKUP(G748,业务功能_系统接口!B341:$H$1416,2,FALSE))</f>
        <v/>
      </c>
      <c r="I748" s="2" t="str">
        <f>IF(G748="","",VLOOKUP(G748,业务功能_系统接口!B341:$H$1416,3,FALSE))</f>
        <v/>
      </c>
      <c r="J748" s="2" t="str">
        <f>IF(G748="","",VLOOKUP(G748,业务功能_系统接口!B341:$H$1416,4,FALSE))</f>
        <v/>
      </c>
    </row>
    <row r="749" spans="3:10">
      <c r="C749" s="8"/>
      <c r="H749" s="2" t="str">
        <f>IF(G749="","",VLOOKUP(G749,业务功能_系统接口!B342:$H$1416,2,FALSE))</f>
        <v/>
      </c>
      <c r="I749" s="2" t="str">
        <f>IF(G749="","",VLOOKUP(G749,业务功能_系统接口!B342:$H$1416,3,FALSE))</f>
        <v/>
      </c>
      <c r="J749" s="2" t="str">
        <f>IF(G749="","",VLOOKUP(G749,业务功能_系统接口!B342:$H$1416,4,FALSE))</f>
        <v/>
      </c>
    </row>
    <row r="750" spans="3:10">
      <c r="C750" s="8"/>
      <c r="H750" s="2" t="str">
        <f>IF(G750="","",VLOOKUP(G750,业务功能_系统接口!B343:$H$1416,2,FALSE))</f>
        <v/>
      </c>
      <c r="I750" s="2" t="str">
        <f>IF(G750="","",VLOOKUP(G750,业务功能_系统接口!B343:$H$1416,3,FALSE))</f>
        <v/>
      </c>
      <c r="J750" s="2" t="str">
        <f>IF(G750="","",VLOOKUP(G750,业务功能_系统接口!B343:$H$1416,4,FALSE))</f>
        <v/>
      </c>
    </row>
    <row r="751" spans="3:10">
      <c r="C751" s="8"/>
      <c r="H751" s="2" t="str">
        <f>IF(G751="","",VLOOKUP(G751,业务功能_系统接口!B344:$H$1416,2,FALSE))</f>
        <v/>
      </c>
      <c r="I751" s="2" t="str">
        <f>IF(G751="","",VLOOKUP(G751,业务功能_系统接口!B344:$H$1416,3,FALSE))</f>
        <v/>
      </c>
      <c r="J751" s="2" t="str">
        <f>IF(G751="","",VLOOKUP(G751,业务功能_系统接口!B344:$H$1416,4,FALSE))</f>
        <v/>
      </c>
    </row>
    <row r="752" spans="3:10">
      <c r="C752" s="8"/>
      <c r="H752" s="2" t="str">
        <f>IF(G752="","",VLOOKUP(G752,业务功能_系统接口!B345:$H$1416,2,FALSE))</f>
        <v/>
      </c>
      <c r="I752" s="2" t="str">
        <f>IF(G752="","",VLOOKUP(G752,业务功能_系统接口!B345:$H$1416,3,FALSE))</f>
        <v/>
      </c>
      <c r="J752" s="2" t="str">
        <f>IF(G752="","",VLOOKUP(G752,业务功能_系统接口!B345:$H$1416,4,FALSE))</f>
        <v/>
      </c>
    </row>
    <row r="753" spans="3:10">
      <c r="C753" s="8"/>
      <c r="H753" s="2" t="str">
        <f>IF(G753="","",VLOOKUP(G753,业务功能_系统接口!B346:$H$1416,2,FALSE))</f>
        <v/>
      </c>
      <c r="I753" s="2" t="str">
        <f>IF(G753="","",VLOOKUP(G753,业务功能_系统接口!B346:$H$1416,3,FALSE))</f>
        <v/>
      </c>
      <c r="J753" s="2" t="str">
        <f>IF(G753="","",VLOOKUP(G753,业务功能_系统接口!B346:$H$1416,4,FALSE))</f>
        <v/>
      </c>
    </row>
    <row r="754" spans="3:10">
      <c r="C754" s="8"/>
      <c r="H754" s="2" t="str">
        <f>IF(G754="","",VLOOKUP(G754,业务功能_系统接口!B347:$H$1416,2,FALSE))</f>
        <v/>
      </c>
      <c r="I754" s="2" t="str">
        <f>IF(G754="","",VLOOKUP(G754,业务功能_系统接口!B347:$H$1416,3,FALSE))</f>
        <v/>
      </c>
      <c r="J754" s="2" t="str">
        <f>IF(G754="","",VLOOKUP(G754,业务功能_系统接口!B347:$H$1416,4,FALSE))</f>
        <v/>
      </c>
    </row>
    <row r="755" spans="3:10">
      <c r="C755" s="8"/>
      <c r="H755" s="2" t="str">
        <f>IF(G755="","",VLOOKUP(G755,业务功能_系统接口!B348:$H$1416,2,FALSE))</f>
        <v/>
      </c>
      <c r="I755" s="2" t="str">
        <f>IF(G755="","",VLOOKUP(G755,业务功能_系统接口!B348:$H$1416,3,FALSE))</f>
        <v/>
      </c>
      <c r="J755" s="2" t="str">
        <f>IF(G755="","",VLOOKUP(G755,业务功能_系统接口!B348:$H$1416,4,FALSE))</f>
        <v/>
      </c>
    </row>
    <row r="756" spans="3:10">
      <c r="C756" s="8"/>
      <c r="H756" s="2" t="str">
        <f>IF(G756="","",VLOOKUP(G756,业务功能_系统接口!B349:$H$1416,2,FALSE))</f>
        <v/>
      </c>
      <c r="I756" s="2" t="str">
        <f>IF(G756="","",VLOOKUP(G756,业务功能_系统接口!B349:$H$1416,3,FALSE))</f>
        <v/>
      </c>
      <c r="J756" s="2" t="str">
        <f>IF(G756="","",VLOOKUP(G756,业务功能_系统接口!B349:$H$1416,4,FALSE))</f>
        <v/>
      </c>
    </row>
    <row r="757" spans="3:10">
      <c r="C757" s="8"/>
      <c r="H757" s="2" t="str">
        <f>IF(G757="","",VLOOKUP(G757,业务功能_系统接口!B350:$H$1416,2,FALSE))</f>
        <v/>
      </c>
      <c r="I757" s="2" t="str">
        <f>IF(G757="","",VLOOKUP(G757,业务功能_系统接口!B350:$H$1416,3,FALSE))</f>
        <v/>
      </c>
      <c r="J757" s="2" t="str">
        <f>IF(G757="","",VLOOKUP(G757,业务功能_系统接口!B350:$H$1416,4,FALSE))</f>
        <v/>
      </c>
    </row>
    <row r="758" spans="3:10">
      <c r="C758" s="8"/>
      <c r="H758" s="2" t="str">
        <f>IF(G758="","",VLOOKUP(G758,业务功能_系统接口!B351:$H$1416,2,FALSE))</f>
        <v/>
      </c>
      <c r="I758" s="2" t="str">
        <f>IF(G758="","",VLOOKUP(G758,业务功能_系统接口!B351:$H$1416,3,FALSE))</f>
        <v/>
      </c>
      <c r="J758" s="2" t="str">
        <f>IF(G758="","",VLOOKUP(G758,业务功能_系统接口!B351:$H$1416,4,FALSE))</f>
        <v/>
      </c>
    </row>
    <row r="759" spans="3:10">
      <c r="C759" s="8"/>
      <c r="H759" s="2" t="str">
        <f>IF(G759="","",VLOOKUP(G759,业务功能_系统接口!B352:$H$1416,2,FALSE))</f>
        <v/>
      </c>
      <c r="I759" s="2" t="str">
        <f>IF(G759="","",VLOOKUP(G759,业务功能_系统接口!B352:$H$1416,3,FALSE))</f>
        <v/>
      </c>
      <c r="J759" s="2" t="str">
        <f>IF(G759="","",VLOOKUP(G759,业务功能_系统接口!B352:$H$1416,4,FALSE))</f>
        <v/>
      </c>
    </row>
    <row r="760" spans="3:10">
      <c r="C760" s="8"/>
      <c r="H760" s="2" t="str">
        <f>IF(G760="","",VLOOKUP(G760,业务功能_系统接口!B353:$H$1416,2,FALSE))</f>
        <v/>
      </c>
      <c r="I760" s="2" t="str">
        <f>IF(G760="","",VLOOKUP(G760,业务功能_系统接口!B353:$H$1416,3,FALSE))</f>
        <v/>
      </c>
      <c r="J760" s="2" t="str">
        <f>IF(G760="","",VLOOKUP(G760,业务功能_系统接口!B353:$H$1416,4,FALSE))</f>
        <v/>
      </c>
    </row>
    <row r="761" spans="3:10">
      <c r="C761" s="8"/>
      <c r="H761" s="2" t="str">
        <f>IF(G761="","",VLOOKUP(G761,业务功能_系统接口!B354:$H$1416,2,FALSE))</f>
        <v/>
      </c>
      <c r="I761" s="2" t="str">
        <f>IF(G761="","",VLOOKUP(G761,业务功能_系统接口!B354:$H$1416,3,FALSE))</f>
        <v/>
      </c>
      <c r="J761" s="2" t="str">
        <f>IF(G761="","",VLOOKUP(G761,业务功能_系统接口!B354:$H$1416,4,FALSE))</f>
        <v/>
      </c>
    </row>
    <row r="762" spans="3:10">
      <c r="C762" s="8"/>
      <c r="H762" s="2" t="str">
        <f>IF(G762="","",VLOOKUP(G762,业务功能_系统接口!B355:$H$1416,2,FALSE))</f>
        <v/>
      </c>
      <c r="I762" s="2" t="str">
        <f>IF(G762="","",VLOOKUP(G762,业务功能_系统接口!B355:$H$1416,3,FALSE))</f>
        <v/>
      </c>
      <c r="J762" s="2" t="str">
        <f>IF(G762="","",VLOOKUP(G762,业务功能_系统接口!B355:$H$1416,4,FALSE))</f>
        <v/>
      </c>
    </row>
    <row r="763" spans="3:10">
      <c r="C763" s="8"/>
      <c r="H763" s="2" t="str">
        <f>IF(G763="","",VLOOKUP(G763,业务功能_系统接口!B356:$H$1416,2,FALSE))</f>
        <v/>
      </c>
      <c r="I763" s="2" t="str">
        <f>IF(G763="","",VLOOKUP(G763,业务功能_系统接口!B356:$H$1416,3,FALSE))</f>
        <v/>
      </c>
      <c r="J763" s="2" t="str">
        <f>IF(G763="","",VLOOKUP(G763,业务功能_系统接口!B356:$H$1416,4,FALSE))</f>
        <v/>
      </c>
    </row>
    <row r="764" spans="3:10">
      <c r="C764" s="8"/>
      <c r="H764" s="2" t="str">
        <f>IF(G764="","",VLOOKUP(G764,业务功能_系统接口!B357:$H$1416,2,FALSE))</f>
        <v/>
      </c>
      <c r="I764" s="2" t="str">
        <f>IF(G764="","",VLOOKUP(G764,业务功能_系统接口!B357:$H$1416,3,FALSE))</f>
        <v/>
      </c>
      <c r="J764" s="2" t="str">
        <f>IF(G764="","",VLOOKUP(G764,业务功能_系统接口!B357:$H$1416,4,FALSE))</f>
        <v/>
      </c>
    </row>
    <row r="765" spans="3:10">
      <c r="C765" s="8"/>
      <c r="H765" s="2" t="str">
        <f>IF(G765="","",VLOOKUP(G765,业务功能_系统接口!B358:$H$1416,2,FALSE))</f>
        <v/>
      </c>
      <c r="I765" s="2" t="str">
        <f>IF(G765="","",VLOOKUP(G765,业务功能_系统接口!B358:$H$1416,3,FALSE))</f>
        <v/>
      </c>
      <c r="J765" s="2" t="str">
        <f>IF(G765="","",VLOOKUP(G765,业务功能_系统接口!B358:$H$1416,4,FALSE))</f>
        <v/>
      </c>
    </row>
    <row r="766" spans="3:10">
      <c r="C766" s="8"/>
      <c r="H766" s="2" t="str">
        <f>IF(G766="","",VLOOKUP(G766,业务功能_系统接口!B359:$H$1416,2,FALSE))</f>
        <v/>
      </c>
      <c r="I766" s="2" t="str">
        <f>IF(G766="","",VLOOKUP(G766,业务功能_系统接口!B359:$H$1416,3,FALSE))</f>
        <v/>
      </c>
      <c r="J766" s="2" t="str">
        <f>IF(G766="","",VLOOKUP(G766,业务功能_系统接口!B359:$H$1416,4,FALSE))</f>
        <v/>
      </c>
    </row>
    <row r="767" spans="3:10">
      <c r="C767" s="8"/>
      <c r="H767" s="2" t="str">
        <f>IF(G767="","",VLOOKUP(G767,业务功能_系统接口!B360:$H$1416,2,FALSE))</f>
        <v/>
      </c>
      <c r="I767" s="2" t="str">
        <f>IF(G767="","",VLOOKUP(G767,业务功能_系统接口!B360:$H$1416,3,FALSE))</f>
        <v/>
      </c>
      <c r="J767" s="2" t="str">
        <f>IF(G767="","",VLOOKUP(G767,业务功能_系统接口!B360:$H$1416,4,FALSE))</f>
        <v/>
      </c>
    </row>
    <row r="768" spans="3:10">
      <c r="C768" s="8"/>
      <c r="H768" s="2" t="str">
        <f>IF(G768="","",VLOOKUP(G768,业务功能_系统接口!B361:$H$1416,2,FALSE))</f>
        <v/>
      </c>
      <c r="I768" s="2" t="str">
        <f>IF(G768="","",VLOOKUP(G768,业务功能_系统接口!B361:$H$1416,3,FALSE))</f>
        <v/>
      </c>
      <c r="J768" s="2" t="str">
        <f>IF(G768="","",VLOOKUP(G768,业务功能_系统接口!B361:$H$1416,4,FALSE))</f>
        <v/>
      </c>
    </row>
    <row r="769" spans="3:10">
      <c r="C769" s="8"/>
      <c r="H769" s="2" t="str">
        <f>IF(G769="","",VLOOKUP(G769,业务功能_系统接口!B362:$H$1416,2,FALSE))</f>
        <v/>
      </c>
      <c r="I769" s="2" t="str">
        <f>IF(G769="","",VLOOKUP(G769,业务功能_系统接口!B362:$H$1416,3,FALSE))</f>
        <v/>
      </c>
      <c r="J769" s="2" t="str">
        <f>IF(G769="","",VLOOKUP(G769,业务功能_系统接口!B362:$H$1416,4,FALSE))</f>
        <v/>
      </c>
    </row>
    <row r="770" spans="3:10">
      <c r="C770" s="8"/>
      <c r="H770" s="2" t="str">
        <f>IF(G770="","",VLOOKUP(G770,业务功能_系统接口!B363:$H$1416,2,FALSE))</f>
        <v/>
      </c>
      <c r="I770" s="2" t="str">
        <f>IF(G770="","",VLOOKUP(G770,业务功能_系统接口!B363:$H$1416,3,FALSE))</f>
        <v/>
      </c>
      <c r="J770" s="2" t="str">
        <f>IF(G770="","",VLOOKUP(G770,业务功能_系统接口!B363:$H$1416,4,FALSE))</f>
        <v/>
      </c>
    </row>
    <row r="771" spans="3:10">
      <c r="C771" s="8"/>
      <c r="H771" s="2" t="str">
        <f>IF(G771="","",VLOOKUP(G771,业务功能_系统接口!B364:$H$1416,2,FALSE))</f>
        <v/>
      </c>
      <c r="I771" s="2" t="str">
        <f>IF(G771="","",VLOOKUP(G771,业务功能_系统接口!B364:$H$1416,3,FALSE))</f>
        <v/>
      </c>
      <c r="J771" s="2" t="str">
        <f>IF(G771="","",VLOOKUP(G771,业务功能_系统接口!B364:$H$1416,4,FALSE))</f>
        <v/>
      </c>
    </row>
    <row r="772" spans="3:10">
      <c r="C772" s="8"/>
      <c r="H772" s="2" t="str">
        <f>IF(G772="","",VLOOKUP(G772,业务功能_系统接口!B365:$H$1416,2,FALSE))</f>
        <v/>
      </c>
      <c r="I772" s="2" t="str">
        <f>IF(G772="","",VLOOKUP(G772,业务功能_系统接口!B365:$H$1416,3,FALSE))</f>
        <v/>
      </c>
      <c r="J772" s="2" t="str">
        <f>IF(G772="","",VLOOKUP(G772,业务功能_系统接口!B365:$H$1416,4,FALSE))</f>
        <v/>
      </c>
    </row>
    <row r="773" spans="3:10">
      <c r="C773" s="8"/>
      <c r="H773" s="2" t="str">
        <f>IF(G773="","",VLOOKUP(G773,业务功能_系统接口!B366:$H$1416,2,FALSE))</f>
        <v/>
      </c>
      <c r="I773" s="2" t="str">
        <f>IF(G773="","",VLOOKUP(G773,业务功能_系统接口!B366:$H$1416,3,FALSE))</f>
        <v/>
      </c>
      <c r="J773" s="2" t="str">
        <f>IF(G773="","",VLOOKUP(G773,业务功能_系统接口!B366:$H$1416,4,FALSE))</f>
        <v/>
      </c>
    </row>
    <row r="774" spans="3:10">
      <c r="C774" s="8"/>
      <c r="H774" s="2" t="str">
        <f>IF(G774="","",VLOOKUP(G774,业务功能_系统接口!B367:$H$1416,2,FALSE))</f>
        <v/>
      </c>
      <c r="I774" s="2" t="str">
        <f>IF(G774="","",VLOOKUP(G774,业务功能_系统接口!B367:$H$1416,3,FALSE))</f>
        <v/>
      </c>
      <c r="J774" s="2" t="str">
        <f>IF(G774="","",VLOOKUP(G774,业务功能_系统接口!B367:$H$1416,4,FALSE))</f>
        <v/>
      </c>
    </row>
    <row r="775" spans="3:10">
      <c r="C775" s="8"/>
      <c r="H775" s="2" t="str">
        <f>IF(G775="","",VLOOKUP(G775,业务功能_系统接口!B368:$H$1416,2,FALSE))</f>
        <v/>
      </c>
      <c r="I775" s="2" t="str">
        <f>IF(G775="","",VLOOKUP(G775,业务功能_系统接口!B368:$H$1416,3,FALSE))</f>
        <v/>
      </c>
      <c r="J775" s="2" t="str">
        <f>IF(G775="","",VLOOKUP(G775,业务功能_系统接口!B368:$H$1416,4,FALSE))</f>
        <v/>
      </c>
    </row>
    <row r="776" spans="3:10">
      <c r="C776" s="8"/>
      <c r="H776" s="2" t="str">
        <f>IF(G776="","",VLOOKUP(G776,业务功能_系统接口!B369:$H$1416,2,FALSE))</f>
        <v/>
      </c>
      <c r="I776" s="2" t="str">
        <f>IF(G776="","",VLOOKUP(G776,业务功能_系统接口!B369:$H$1416,3,FALSE))</f>
        <v/>
      </c>
      <c r="J776" s="2" t="str">
        <f>IF(G776="","",VLOOKUP(G776,业务功能_系统接口!B369:$H$1416,4,FALSE))</f>
        <v/>
      </c>
    </row>
    <row r="777" spans="3:10">
      <c r="C777" s="8"/>
      <c r="H777" s="2" t="str">
        <f>IF(G777="","",VLOOKUP(G777,业务功能_系统接口!B370:$H$1416,2,FALSE))</f>
        <v/>
      </c>
      <c r="I777" s="2" t="str">
        <f>IF(G777="","",VLOOKUP(G777,业务功能_系统接口!B370:$H$1416,3,FALSE))</f>
        <v/>
      </c>
      <c r="J777" s="2" t="str">
        <f>IF(G777="","",VLOOKUP(G777,业务功能_系统接口!B370:$H$1416,4,FALSE))</f>
        <v/>
      </c>
    </row>
    <row r="778" spans="3:10">
      <c r="C778" s="8"/>
      <c r="H778" s="2" t="str">
        <f>IF(G778="","",VLOOKUP(G778,业务功能_系统接口!B371:$H$1416,2,FALSE))</f>
        <v/>
      </c>
      <c r="I778" s="2" t="str">
        <f>IF(G778="","",VLOOKUP(G778,业务功能_系统接口!B371:$H$1416,3,FALSE))</f>
        <v/>
      </c>
      <c r="J778" s="2" t="str">
        <f>IF(G778="","",VLOOKUP(G778,业务功能_系统接口!B371:$H$1416,4,FALSE))</f>
        <v/>
      </c>
    </row>
    <row r="779" spans="3:10">
      <c r="C779" s="8"/>
      <c r="H779" s="2" t="str">
        <f>IF(G779="","",VLOOKUP(G779,业务功能_系统接口!B372:$H$1416,2,FALSE))</f>
        <v/>
      </c>
      <c r="I779" s="2" t="str">
        <f>IF(G779="","",VLOOKUP(G779,业务功能_系统接口!B372:$H$1416,3,FALSE))</f>
        <v/>
      </c>
      <c r="J779" s="2" t="str">
        <f>IF(G779="","",VLOOKUP(G779,业务功能_系统接口!B372:$H$1416,4,FALSE))</f>
        <v/>
      </c>
    </row>
    <row r="780" spans="3:10">
      <c r="C780" s="8"/>
      <c r="H780" s="2" t="str">
        <f>IF(G780="","",VLOOKUP(G780,业务功能_系统接口!B373:$H$1416,2,FALSE))</f>
        <v/>
      </c>
      <c r="I780" s="2" t="str">
        <f>IF(G780="","",VLOOKUP(G780,业务功能_系统接口!B373:$H$1416,3,FALSE))</f>
        <v/>
      </c>
      <c r="J780" s="2" t="str">
        <f>IF(G780="","",VLOOKUP(G780,业务功能_系统接口!B373:$H$1416,4,FALSE))</f>
        <v/>
      </c>
    </row>
    <row r="781" spans="3:10">
      <c r="C781" s="8"/>
      <c r="H781" s="2" t="str">
        <f>IF(G781="","",VLOOKUP(G781,业务功能_系统接口!B374:$H$1416,2,FALSE))</f>
        <v/>
      </c>
      <c r="I781" s="2" t="str">
        <f>IF(G781="","",VLOOKUP(G781,业务功能_系统接口!B374:$H$1416,3,FALSE))</f>
        <v/>
      </c>
      <c r="J781" s="2" t="str">
        <f>IF(G781="","",VLOOKUP(G781,业务功能_系统接口!B374:$H$1416,4,FALSE))</f>
        <v/>
      </c>
    </row>
    <row r="782" spans="3:10">
      <c r="C782" s="8"/>
      <c r="H782" s="2" t="str">
        <f>IF(G782="","",VLOOKUP(G782,业务功能_系统接口!B375:$H$1416,2,FALSE))</f>
        <v/>
      </c>
      <c r="I782" s="2" t="str">
        <f>IF(G782="","",VLOOKUP(G782,业务功能_系统接口!B375:$H$1416,3,FALSE))</f>
        <v/>
      </c>
      <c r="J782" s="2" t="str">
        <f>IF(G782="","",VLOOKUP(G782,业务功能_系统接口!B375:$H$1416,4,FALSE))</f>
        <v/>
      </c>
    </row>
    <row r="783" spans="3:10">
      <c r="C783" s="8"/>
      <c r="H783" s="2" t="str">
        <f>IF(G783="","",VLOOKUP(G783,业务功能_系统接口!B376:$H$1416,2,FALSE))</f>
        <v/>
      </c>
      <c r="I783" s="2" t="str">
        <f>IF(G783="","",VLOOKUP(G783,业务功能_系统接口!B376:$H$1416,3,FALSE))</f>
        <v/>
      </c>
      <c r="J783" s="2" t="str">
        <f>IF(G783="","",VLOOKUP(G783,业务功能_系统接口!B376:$H$1416,4,FALSE))</f>
        <v/>
      </c>
    </row>
    <row r="784" spans="3:10">
      <c r="C784" s="8"/>
      <c r="H784" s="2" t="str">
        <f>IF(G784="","",VLOOKUP(G784,业务功能_系统接口!B377:$H$1416,2,FALSE))</f>
        <v/>
      </c>
      <c r="I784" s="2" t="str">
        <f>IF(G784="","",VLOOKUP(G784,业务功能_系统接口!B377:$H$1416,3,FALSE))</f>
        <v/>
      </c>
      <c r="J784" s="2" t="str">
        <f>IF(G784="","",VLOOKUP(G784,业务功能_系统接口!B377:$H$1416,4,FALSE))</f>
        <v/>
      </c>
    </row>
    <row r="785" spans="3:10">
      <c r="C785" s="8"/>
      <c r="H785" s="2" t="str">
        <f>IF(G785="","",VLOOKUP(G785,业务功能_系统接口!B378:$H$1416,2,FALSE))</f>
        <v/>
      </c>
      <c r="I785" s="2" t="str">
        <f>IF(G785="","",VLOOKUP(G785,业务功能_系统接口!B378:$H$1416,3,FALSE))</f>
        <v/>
      </c>
      <c r="J785" s="2" t="str">
        <f>IF(G785="","",VLOOKUP(G785,业务功能_系统接口!B378:$H$1416,4,FALSE))</f>
        <v/>
      </c>
    </row>
    <row r="786" spans="3:10">
      <c r="C786" s="8"/>
      <c r="H786" s="2" t="str">
        <f>IF(G786="","",VLOOKUP(G786,业务功能_系统接口!B379:$H$1416,2,FALSE))</f>
        <v/>
      </c>
      <c r="I786" s="2" t="str">
        <f>IF(G786="","",VLOOKUP(G786,业务功能_系统接口!B379:$H$1416,3,FALSE))</f>
        <v/>
      </c>
      <c r="J786" s="2" t="str">
        <f>IF(G786="","",VLOOKUP(G786,业务功能_系统接口!B379:$H$1416,4,FALSE))</f>
        <v/>
      </c>
    </row>
    <row r="787" spans="3:10">
      <c r="C787" s="8"/>
      <c r="H787" s="2" t="str">
        <f>IF(G787="","",VLOOKUP(G787,业务功能_系统接口!B380:$H$1416,2,FALSE))</f>
        <v/>
      </c>
      <c r="I787" s="2" t="str">
        <f>IF(G787="","",VLOOKUP(G787,业务功能_系统接口!B380:$H$1416,3,FALSE))</f>
        <v/>
      </c>
      <c r="J787" s="2" t="str">
        <f>IF(G787="","",VLOOKUP(G787,业务功能_系统接口!B380:$H$1416,4,FALSE))</f>
        <v/>
      </c>
    </row>
    <row r="788" spans="3:10">
      <c r="C788" s="8"/>
      <c r="H788" s="2" t="str">
        <f>IF(G788="","",VLOOKUP(G788,业务功能_系统接口!B381:$H$1416,2,FALSE))</f>
        <v/>
      </c>
      <c r="I788" s="2" t="str">
        <f>IF(G788="","",VLOOKUP(G788,业务功能_系统接口!B381:$H$1416,3,FALSE))</f>
        <v/>
      </c>
      <c r="J788" s="2" t="str">
        <f>IF(G788="","",VLOOKUP(G788,业务功能_系统接口!B381:$H$1416,4,FALSE))</f>
        <v/>
      </c>
    </row>
    <row r="789" spans="3:10">
      <c r="C789" s="8"/>
      <c r="H789" s="2" t="str">
        <f>IF(G789="","",VLOOKUP(G789,业务功能_系统接口!B382:$H$1416,2,FALSE))</f>
        <v/>
      </c>
      <c r="I789" s="2" t="str">
        <f>IF(G789="","",VLOOKUP(G789,业务功能_系统接口!B382:$H$1416,3,FALSE))</f>
        <v/>
      </c>
      <c r="J789" s="2" t="str">
        <f>IF(G789="","",VLOOKUP(G789,业务功能_系统接口!B382:$H$1416,4,FALSE))</f>
        <v/>
      </c>
    </row>
    <row r="790" spans="3:10">
      <c r="C790" s="8"/>
      <c r="H790" s="2" t="str">
        <f>IF(G790="","",VLOOKUP(G790,业务功能_系统接口!B383:$H$1416,2,FALSE))</f>
        <v/>
      </c>
      <c r="I790" s="2" t="str">
        <f>IF(G790="","",VLOOKUP(G790,业务功能_系统接口!B383:$H$1416,3,FALSE))</f>
        <v/>
      </c>
      <c r="J790" s="2" t="str">
        <f>IF(G790="","",VLOOKUP(G790,业务功能_系统接口!B383:$H$1416,4,FALSE))</f>
        <v/>
      </c>
    </row>
    <row r="791" spans="3:10">
      <c r="C791" s="8"/>
      <c r="H791" s="2" t="str">
        <f>IF(G791="","",VLOOKUP(G791,业务功能_系统接口!B384:$H$1416,2,FALSE))</f>
        <v/>
      </c>
      <c r="I791" s="2" t="str">
        <f>IF(G791="","",VLOOKUP(G791,业务功能_系统接口!B384:$H$1416,3,FALSE))</f>
        <v/>
      </c>
      <c r="J791" s="2" t="str">
        <f>IF(G791="","",VLOOKUP(G791,业务功能_系统接口!B384:$H$1416,4,FALSE))</f>
        <v/>
      </c>
    </row>
    <row r="792" spans="3:10">
      <c r="C792" s="8"/>
      <c r="H792" s="2" t="str">
        <f>IF(G792="","",VLOOKUP(G792,业务功能_系统接口!B385:$H$1416,2,FALSE))</f>
        <v/>
      </c>
      <c r="I792" s="2" t="str">
        <f>IF(G792="","",VLOOKUP(G792,业务功能_系统接口!B385:$H$1416,3,FALSE))</f>
        <v/>
      </c>
      <c r="J792" s="2" t="str">
        <f>IF(G792="","",VLOOKUP(G792,业务功能_系统接口!B385:$H$1416,4,FALSE))</f>
        <v/>
      </c>
    </row>
    <row r="793" spans="3:10">
      <c r="C793" s="8"/>
      <c r="H793" s="2" t="str">
        <f>IF(G793="","",VLOOKUP(G793,业务功能_系统接口!B386:$H$1416,2,FALSE))</f>
        <v/>
      </c>
      <c r="I793" s="2" t="str">
        <f>IF(G793="","",VLOOKUP(G793,业务功能_系统接口!B386:$H$1416,3,FALSE))</f>
        <v/>
      </c>
      <c r="J793" s="2" t="str">
        <f>IF(G793="","",VLOOKUP(G793,业务功能_系统接口!B386:$H$1416,4,FALSE))</f>
        <v/>
      </c>
    </row>
    <row r="794" spans="3:10">
      <c r="C794" s="8"/>
      <c r="H794" s="2" t="str">
        <f>IF(G794="","",VLOOKUP(G794,业务功能_系统接口!B387:$H$1416,2,FALSE))</f>
        <v/>
      </c>
      <c r="I794" s="2" t="str">
        <f>IF(G794="","",VLOOKUP(G794,业务功能_系统接口!B387:$H$1416,3,FALSE))</f>
        <v/>
      </c>
      <c r="J794" s="2" t="str">
        <f>IF(G794="","",VLOOKUP(G794,业务功能_系统接口!B387:$H$1416,4,FALSE))</f>
        <v/>
      </c>
    </row>
    <row r="795" spans="3:10">
      <c r="C795" s="8"/>
      <c r="H795" s="2" t="str">
        <f>IF(G795="","",VLOOKUP(G795,业务功能_系统接口!B388:$H$1416,2,FALSE))</f>
        <v/>
      </c>
      <c r="I795" s="2" t="str">
        <f>IF(G795="","",VLOOKUP(G795,业务功能_系统接口!B388:$H$1416,3,FALSE))</f>
        <v/>
      </c>
      <c r="J795" s="2" t="str">
        <f>IF(G795="","",VLOOKUP(G795,业务功能_系统接口!B388:$H$1416,4,FALSE))</f>
        <v/>
      </c>
    </row>
    <row r="796" spans="3:10">
      <c r="C796" s="8"/>
      <c r="H796" s="2" t="str">
        <f>IF(G796="","",VLOOKUP(G796,业务功能_系统接口!B389:$H$1416,2,FALSE))</f>
        <v/>
      </c>
      <c r="I796" s="2" t="str">
        <f>IF(G796="","",VLOOKUP(G796,业务功能_系统接口!B389:$H$1416,3,FALSE))</f>
        <v/>
      </c>
      <c r="J796" s="2" t="str">
        <f>IF(G796="","",VLOOKUP(G796,业务功能_系统接口!B389:$H$1416,4,FALSE))</f>
        <v/>
      </c>
    </row>
    <row r="797" spans="3:10">
      <c r="C797" s="8"/>
      <c r="H797" s="2" t="str">
        <f>IF(G797="","",VLOOKUP(G797,业务功能_系统接口!B390:$H$1416,2,FALSE))</f>
        <v/>
      </c>
      <c r="I797" s="2" t="str">
        <f>IF(G797="","",VLOOKUP(G797,业务功能_系统接口!B390:$H$1416,3,FALSE))</f>
        <v/>
      </c>
      <c r="J797" s="2" t="str">
        <f>IF(G797="","",VLOOKUP(G797,业务功能_系统接口!B390:$H$1416,4,FALSE))</f>
        <v/>
      </c>
    </row>
    <row r="798" spans="3:10">
      <c r="C798" s="8"/>
      <c r="H798" s="2" t="str">
        <f>IF(G798="","",VLOOKUP(G798,业务功能_系统接口!B391:$H$1416,2,FALSE))</f>
        <v/>
      </c>
      <c r="I798" s="2" t="str">
        <f>IF(G798="","",VLOOKUP(G798,业务功能_系统接口!B391:$H$1416,3,FALSE))</f>
        <v/>
      </c>
      <c r="J798" s="2" t="str">
        <f>IF(G798="","",VLOOKUP(G798,业务功能_系统接口!B391:$H$1416,4,FALSE))</f>
        <v/>
      </c>
    </row>
    <row r="799" spans="3:10">
      <c r="C799" s="8"/>
      <c r="H799" s="2" t="str">
        <f>IF(G799="","",VLOOKUP(G799,业务功能_系统接口!B392:$H$1416,2,FALSE))</f>
        <v/>
      </c>
      <c r="I799" s="2" t="str">
        <f>IF(G799="","",VLOOKUP(G799,业务功能_系统接口!B392:$H$1416,3,FALSE))</f>
        <v/>
      </c>
      <c r="J799" s="2" t="str">
        <f>IF(G799="","",VLOOKUP(G799,业务功能_系统接口!B392:$H$1416,4,FALSE))</f>
        <v/>
      </c>
    </row>
    <row r="800" spans="3:10">
      <c r="C800" s="8"/>
      <c r="H800" s="2" t="str">
        <f>IF(G800="","",VLOOKUP(G800,业务功能_系统接口!B393:$H$1416,2,FALSE))</f>
        <v/>
      </c>
      <c r="I800" s="2" t="str">
        <f>IF(G800="","",VLOOKUP(G800,业务功能_系统接口!B393:$H$1416,3,FALSE))</f>
        <v/>
      </c>
      <c r="J800" s="2" t="str">
        <f>IF(G800="","",VLOOKUP(G800,业务功能_系统接口!B393:$H$1416,4,FALSE))</f>
        <v/>
      </c>
    </row>
    <row r="801" spans="3:10">
      <c r="C801" s="8"/>
      <c r="H801" s="2" t="str">
        <f>IF(G801="","",VLOOKUP(G801,业务功能_系统接口!B394:$H$1416,2,FALSE))</f>
        <v/>
      </c>
      <c r="I801" s="2" t="str">
        <f>IF(G801="","",VLOOKUP(G801,业务功能_系统接口!B394:$H$1416,3,FALSE))</f>
        <v/>
      </c>
      <c r="J801" s="2" t="str">
        <f>IF(G801="","",VLOOKUP(G801,业务功能_系统接口!B394:$H$1416,4,FALSE))</f>
        <v/>
      </c>
    </row>
    <row r="802" spans="3:10">
      <c r="C802" s="8"/>
      <c r="H802" s="2" t="str">
        <f>IF(G802="","",VLOOKUP(G802,业务功能_系统接口!B395:$H$1416,2,FALSE))</f>
        <v/>
      </c>
      <c r="I802" s="2" t="str">
        <f>IF(G802="","",VLOOKUP(G802,业务功能_系统接口!B395:$H$1416,3,FALSE))</f>
        <v/>
      </c>
      <c r="J802" s="2" t="str">
        <f>IF(G802="","",VLOOKUP(G802,业务功能_系统接口!B395:$H$1416,4,FALSE))</f>
        <v/>
      </c>
    </row>
    <row r="803" spans="3:10">
      <c r="C803" s="8"/>
      <c r="H803" s="2" t="str">
        <f>IF(G803="","",VLOOKUP(G803,业务功能_系统接口!B396:$H$1416,2,FALSE))</f>
        <v/>
      </c>
      <c r="I803" s="2" t="str">
        <f>IF(G803="","",VLOOKUP(G803,业务功能_系统接口!B396:$H$1416,3,FALSE))</f>
        <v/>
      </c>
      <c r="J803" s="2" t="str">
        <f>IF(G803="","",VLOOKUP(G803,业务功能_系统接口!B396:$H$1416,4,FALSE))</f>
        <v/>
      </c>
    </row>
    <row r="804" spans="3:10">
      <c r="C804" s="8"/>
      <c r="H804" s="2" t="str">
        <f>IF(G804="","",VLOOKUP(G804,业务功能_系统接口!B397:$H$1416,2,FALSE))</f>
        <v/>
      </c>
      <c r="I804" s="2" t="str">
        <f>IF(G804="","",VLOOKUP(G804,业务功能_系统接口!B397:$H$1416,3,FALSE))</f>
        <v/>
      </c>
      <c r="J804" s="2" t="str">
        <f>IF(G804="","",VLOOKUP(G804,业务功能_系统接口!B397:$H$1416,4,FALSE))</f>
        <v/>
      </c>
    </row>
    <row r="805" spans="3:10">
      <c r="C805" s="8"/>
      <c r="H805" s="2" t="str">
        <f>IF(G805="","",VLOOKUP(G805,业务功能_系统接口!B398:$H$1416,2,FALSE))</f>
        <v/>
      </c>
      <c r="I805" s="2" t="str">
        <f>IF(G805="","",VLOOKUP(G805,业务功能_系统接口!B398:$H$1416,3,FALSE))</f>
        <v/>
      </c>
      <c r="J805" s="2" t="str">
        <f>IF(G805="","",VLOOKUP(G805,业务功能_系统接口!B398:$H$1416,4,FALSE))</f>
        <v/>
      </c>
    </row>
    <row r="806" spans="3:10">
      <c r="C806" s="8"/>
      <c r="H806" s="2" t="str">
        <f>IF(G806="","",VLOOKUP(G806,业务功能_系统接口!B399:$H$1416,2,FALSE))</f>
        <v/>
      </c>
      <c r="I806" s="2" t="str">
        <f>IF(G806="","",VLOOKUP(G806,业务功能_系统接口!B399:$H$1416,3,FALSE))</f>
        <v/>
      </c>
      <c r="J806" s="2" t="str">
        <f>IF(G806="","",VLOOKUP(G806,业务功能_系统接口!B399:$H$1416,4,FALSE))</f>
        <v/>
      </c>
    </row>
    <row r="807" spans="3:10">
      <c r="C807" s="8"/>
      <c r="H807" s="2" t="str">
        <f>IF(G807="","",VLOOKUP(G807,业务功能_系统接口!B400:$H$1416,2,FALSE))</f>
        <v/>
      </c>
      <c r="I807" s="2" t="str">
        <f>IF(G807="","",VLOOKUP(G807,业务功能_系统接口!B400:$H$1416,3,FALSE))</f>
        <v/>
      </c>
      <c r="J807" s="2" t="str">
        <f>IF(G807="","",VLOOKUP(G807,业务功能_系统接口!B400:$H$1416,4,FALSE))</f>
        <v/>
      </c>
    </row>
    <row r="808" spans="3:10">
      <c r="C808" s="8"/>
      <c r="H808" s="2" t="str">
        <f>IF(G808="","",VLOOKUP(G808,业务功能_系统接口!B401:$H$1416,2,FALSE))</f>
        <v/>
      </c>
      <c r="I808" s="2" t="str">
        <f>IF(G808="","",VLOOKUP(G808,业务功能_系统接口!B401:$H$1416,3,FALSE))</f>
        <v/>
      </c>
      <c r="J808" s="2" t="str">
        <f>IF(G808="","",VLOOKUP(G808,业务功能_系统接口!B401:$H$1416,4,FALSE))</f>
        <v/>
      </c>
    </row>
    <row r="809" spans="3:10">
      <c r="C809" s="8"/>
      <c r="H809" s="2" t="str">
        <f>IF(G809="","",VLOOKUP(G809,业务功能_系统接口!B402:$H$1416,2,FALSE))</f>
        <v/>
      </c>
      <c r="I809" s="2" t="str">
        <f>IF(G809="","",VLOOKUP(G809,业务功能_系统接口!B402:$H$1416,3,FALSE))</f>
        <v/>
      </c>
      <c r="J809" s="2" t="str">
        <f>IF(G809="","",VLOOKUP(G809,业务功能_系统接口!B402:$H$1416,4,FALSE))</f>
        <v/>
      </c>
    </row>
    <row r="810" spans="3:10">
      <c r="C810" s="8"/>
      <c r="H810" s="2" t="str">
        <f>IF(G810="","",VLOOKUP(G810,业务功能_系统接口!B403:$H$1416,2,FALSE))</f>
        <v/>
      </c>
      <c r="I810" s="2" t="str">
        <f>IF(G810="","",VLOOKUP(G810,业务功能_系统接口!B403:$H$1416,3,FALSE))</f>
        <v/>
      </c>
      <c r="J810" s="2" t="str">
        <f>IF(G810="","",VLOOKUP(G810,业务功能_系统接口!B403:$H$1416,4,FALSE))</f>
        <v/>
      </c>
    </row>
    <row r="811" spans="3:10">
      <c r="C811" s="8"/>
      <c r="H811" s="2" t="str">
        <f>IF(G811="","",VLOOKUP(G811,业务功能_系统接口!B404:$H$1416,2,FALSE))</f>
        <v/>
      </c>
      <c r="I811" s="2" t="str">
        <f>IF(G811="","",VLOOKUP(G811,业务功能_系统接口!B404:$H$1416,3,FALSE))</f>
        <v/>
      </c>
      <c r="J811" s="2" t="str">
        <f>IF(G811="","",VLOOKUP(G811,业务功能_系统接口!B404:$H$1416,4,FALSE))</f>
        <v/>
      </c>
    </row>
    <row r="812" spans="3:10">
      <c r="C812" s="8"/>
      <c r="H812" s="2" t="str">
        <f>IF(G812="","",VLOOKUP(G812,业务功能_系统接口!B405:$H$1416,2,FALSE))</f>
        <v/>
      </c>
      <c r="I812" s="2" t="str">
        <f>IF(G812="","",VLOOKUP(G812,业务功能_系统接口!B405:$H$1416,3,FALSE))</f>
        <v/>
      </c>
      <c r="J812" s="2" t="str">
        <f>IF(G812="","",VLOOKUP(G812,业务功能_系统接口!B405:$H$1416,4,FALSE))</f>
        <v/>
      </c>
    </row>
    <row r="813" spans="3:10">
      <c r="C813" s="8"/>
      <c r="H813" s="2" t="str">
        <f>IF(G813="","",VLOOKUP(G813,业务功能_系统接口!B406:$H$1416,2,FALSE))</f>
        <v/>
      </c>
      <c r="I813" s="2" t="str">
        <f>IF(G813="","",VLOOKUP(G813,业务功能_系统接口!B406:$H$1416,3,FALSE))</f>
        <v/>
      </c>
      <c r="J813" s="2" t="str">
        <f>IF(G813="","",VLOOKUP(G813,业务功能_系统接口!B406:$H$1416,4,FALSE))</f>
        <v/>
      </c>
    </row>
    <row r="814" spans="3:10">
      <c r="C814" s="8"/>
      <c r="H814" s="2" t="str">
        <f>IF(G814="","",VLOOKUP(G814,业务功能_系统接口!B407:$H$1416,2,FALSE))</f>
        <v/>
      </c>
      <c r="I814" s="2" t="str">
        <f>IF(G814="","",VLOOKUP(G814,业务功能_系统接口!B407:$H$1416,3,FALSE))</f>
        <v/>
      </c>
      <c r="J814" s="2" t="str">
        <f>IF(G814="","",VLOOKUP(G814,业务功能_系统接口!B407:$H$1416,4,FALSE))</f>
        <v/>
      </c>
    </row>
    <row r="815" spans="3:10">
      <c r="C815" s="8"/>
      <c r="H815" s="2" t="str">
        <f>IF(G815="","",VLOOKUP(G815,业务功能_系统接口!B408:$H$1416,2,FALSE))</f>
        <v/>
      </c>
      <c r="I815" s="2" t="str">
        <f>IF(G815="","",VLOOKUP(G815,业务功能_系统接口!B408:$H$1416,3,FALSE))</f>
        <v/>
      </c>
      <c r="J815" s="2" t="str">
        <f>IF(G815="","",VLOOKUP(G815,业务功能_系统接口!B408:$H$1416,4,FALSE))</f>
        <v/>
      </c>
    </row>
    <row r="816" spans="3:10">
      <c r="C816" s="8"/>
      <c r="H816" s="2" t="str">
        <f>IF(G816="","",VLOOKUP(G816,业务功能_系统接口!B409:$H$1416,2,FALSE))</f>
        <v/>
      </c>
      <c r="I816" s="2" t="str">
        <f>IF(G816="","",VLOOKUP(G816,业务功能_系统接口!B409:$H$1416,3,FALSE))</f>
        <v/>
      </c>
      <c r="J816" s="2" t="str">
        <f>IF(G816="","",VLOOKUP(G816,业务功能_系统接口!B409:$H$1416,4,FALSE))</f>
        <v/>
      </c>
    </row>
    <row r="817" spans="3:10">
      <c r="C817" s="8"/>
      <c r="H817" s="2" t="str">
        <f>IF(G817="","",VLOOKUP(G817,业务功能_系统接口!B410:$H$1416,2,FALSE))</f>
        <v/>
      </c>
      <c r="I817" s="2" t="str">
        <f>IF(G817="","",VLOOKUP(G817,业务功能_系统接口!B410:$H$1416,3,FALSE))</f>
        <v/>
      </c>
      <c r="J817" s="2" t="str">
        <f>IF(G817="","",VLOOKUP(G817,业务功能_系统接口!B410:$H$1416,4,FALSE))</f>
        <v/>
      </c>
    </row>
    <row r="818" spans="3:10">
      <c r="C818" s="8"/>
      <c r="H818" s="2" t="str">
        <f>IF(G818="","",VLOOKUP(G818,业务功能_系统接口!B411:$H$1416,2,FALSE))</f>
        <v/>
      </c>
      <c r="I818" s="2" t="str">
        <f>IF(G818="","",VLOOKUP(G818,业务功能_系统接口!B411:$H$1416,3,FALSE))</f>
        <v/>
      </c>
      <c r="J818" s="2" t="str">
        <f>IF(G818="","",VLOOKUP(G818,业务功能_系统接口!B411:$H$1416,4,FALSE))</f>
        <v/>
      </c>
    </row>
    <row r="819" spans="3:10">
      <c r="C819" s="8"/>
      <c r="H819" s="2" t="str">
        <f>IF(G819="","",VLOOKUP(G819,业务功能_系统接口!B412:$H$1416,2,FALSE))</f>
        <v/>
      </c>
      <c r="I819" s="2" t="str">
        <f>IF(G819="","",VLOOKUP(G819,业务功能_系统接口!B412:$H$1416,3,FALSE))</f>
        <v/>
      </c>
      <c r="J819" s="2" t="str">
        <f>IF(G819="","",VLOOKUP(G819,业务功能_系统接口!B412:$H$1416,4,FALSE))</f>
        <v/>
      </c>
    </row>
    <row r="820" spans="3:10">
      <c r="C820" s="8"/>
      <c r="H820" s="2" t="str">
        <f>IF(G820="","",VLOOKUP(G820,业务功能_系统接口!B413:$H$1416,2,FALSE))</f>
        <v/>
      </c>
      <c r="I820" s="2" t="str">
        <f>IF(G820="","",VLOOKUP(G820,业务功能_系统接口!B413:$H$1416,3,FALSE))</f>
        <v/>
      </c>
      <c r="J820" s="2" t="str">
        <f>IF(G820="","",VLOOKUP(G820,业务功能_系统接口!B413:$H$1416,4,FALSE))</f>
        <v/>
      </c>
    </row>
    <row r="821" spans="3:10">
      <c r="C821" s="8"/>
      <c r="H821" s="2" t="str">
        <f>IF(G821="","",VLOOKUP(G821,业务功能_系统接口!B414:$H$1416,2,FALSE))</f>
        <v/>
      </c>
      <c r="I821" s="2" t="str">
        <f>IF(G821="","",VLOOKUP(G821,业务功能_系统接口!B414:$H$1416,3,FALSE))</f>
        <v/>
      </c>
      <c r="J821" s="2" t="str">
        <f>IF(G821="","",VLOOKUP(G821,业务功能_系统接口!B414:$H$1416,4,FALSE))</f>
        <v/>
      </c>
    </row>
    <row r="822" spans="3:10">
      <c r="C822" s="8"/>
      <c r="H822" s="2" t="str">
        <f>IF(G822="","",VLOOKUP(G822,业务功能_系统接口!B415:$H$1416,2,FALSE))</f>
        <v/>
      </c>
      <c r="I822" s="2" t="str">
        <f>IF(G822="","",VLOOKUP(G822,业务功能_系统接口!B415:$H$1416,3,FALSE))</f>
        <v/>
      </c>
      <c r="J822" s="2" t="str">
        <f>IF(G822="","",VLOOKUP(G822,业务功能_系统接口!B415:$H$1416,4,FALSE))</f>
        <v/>
      </c>
    </row>
    <row r="823" spans="3:10">
      <c r="C823" s="8"/>
      <c r="H823" s="2" t="str">
        <f>IF(G823="","",VLOOKUP(G823,业务功能_系统接口!B416:$H$1416,2,FALSE))</f>
        <v/>
      </c>
      <c r="I823" s="2" t="str">
        <f>IF(G823="","",VLOOKUP(G823,业务功能_系统接口!B416:$H$1416,3,FALSE))</f>
        <v/>
      </c>
      <c r="J823" s="2" t="str">
        <f>IF(G823="","",VLOOKUP(G823,业务功能_系统接口!B416:$H$1416,4,FALSE))</f>
        <v/>
      </c>
    </row>
    <row r="824" spans="3:10">
      <c r="C824" s="8"/>
      <c r="H824" s="2" t="str">
        <f>IF(G824="","",VLOOKUP(G824,业务功能_系统接口!B417:$H$1416,2,FALSE))</f>
        <v/>
      </c>
      <c r="I824" s="2" t="str">
        <f>IF(G824="","",VLOOKUP(G824,业务功能_系统接口!B417:$H$1416,3,FALSE))</f>
        <v/>
      </c>
      <c r="J824" s="2" t="str">
        <f>IF(G824="","",VLOOKUP(G824,业务功能_系统接口!B417:$H$1416,4,FALSE))</f>
        <v/>
      </c>
    </row>
  </sheetData>
  <mergeCells count="1">
    <mergeCell ref="K2:AB2"/>
  </mergeCells>
  <phoneticPr fontId="10" type="noConversion"/>
  <pageMargins left="0.7" right="0.7" top="0.75" bottom="0.75" header="0.3" footer="0.3"/>
  <pageSetup scale="10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cmd_GenerateTC">
          <controlPr defaultSize="0" autoLine="0" r:id="rId5">
            <anchor moveWithCells="1">
              <from>
                <xdr:col>10</xdr:col>
                <xdr:colOff>9525</xdr:colOff>
                <xdr:row>0</xdr:row>
                <xdr:rowOff>76200</xdr:rowOff>
              </from>
              <to>
                <xdr:col>12</xdr:col>
                <xdr:colOff>28575</xdr:colOff>
                <xdr:row>0</xdr:row>
                <xdr:rowOff>438150</xdr:rowOff>
              </to>
            </anchor>
          </controlPr>
        </control>
      </mc:Choice>
      <mc:Fallback>
        <control shapeId="5121" r:id="rId4" name="cmd_GenerateT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Dict!$B$4:$B$11</xm:f>
          </x14:formula1>
          <xm:sqref>C6:C824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冒烟测试设计</vt:lpstr>
      <vt:lpstr>测试用例_数据_Sample</vt:lpstr>
      <vt:lpstr>Dict</vt:lpstr>
      <vt:lpstr>测试参数设置</vt:lpstr>
      <vt:lpstr>业务功能_系统接口</vt:lpstr>
      <vt:lpstr>系统接口分类</vt:lpstr>
      <vt:lpstr>系统接口_测试用例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kevin.yan</dc:creator>
  <cp:lastModifiedBy>kevin.yan</cp:lastModifiedBy>
  <cp:lastPrinted>2017-12-04T10:23:31Z</cp:lastPrinted>
  <dcterms:created xsi:type="dcterms:W3CDTF">2017-12-01T04:44:19Z</dcterms:created>
  <dcterms:modified xsi:type="dcterms:W3CDTF">2018-01-15T06:02:50Z</dcterms:modified>
</cp:coreProperties>
</file>